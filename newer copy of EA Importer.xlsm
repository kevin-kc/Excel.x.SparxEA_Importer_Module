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05" windowWidth="16590" windowHeight="4770" tabRatio="339" activeTab="1"/>
  </bookViews>
  <sheets>
    <sheet name="Import" sheetId="19" r:id="rId1"/>
    <sheet name="Sync with Sparx" sheetId="2" r:id="rId2"/>
    <sheet name="EAObjectTypeIDs" sheetId="20" r:id="rId3"/>
  </sheets>
  <functionGroups builtInGroupCount="17"/>
  <definedNames>
    <definedName name="LL_EAObject_TypeIDs">EAObjectTypeIDs!$B$3:$B$62</definedName>
    <definedName name="LL_EAObject_TypeNames">LL_EAObjectTypeIDs[TypeName]</definedName>
    <definedName name="LL_Element_Types">EAObjectTypeIDs!$D$2:$D$52</definedName>
    <definedName name="LL_Status">EAObjectTypeIDs!$C$2:$C$11</definedName>
  </definedNames>
  <calcPr calcId="145621"/>
</workbook>
</file>

<file path=xl/calcChain.xml><?xml version="1.0" encoding="utf-8"?>
<calcChain xmlns="http://schemas.openxmlformats.org/spreadsheetml/2006/main">
  <c r="D4" i="19" l="1"/>
  <c r="D5" i="19"/>
  <c r="G11" i="19"/>
  <c r="G10" i="19"/>
  <c r="G9" i="19"/>
  <c r="G8" i="19"/>
  <c r="G7" i="19"/>
  <c r="G6" i="19"/>
  <c r="G5" i="19"/>
  <c r="G4" i="19"/>
  <c r="H7" i="19"/>
  <c r="H8" i="19"/>
  <c r="H9" i="19"/>
  <c r="I9" i="19" s="1"/>
  <c r="H10" i="19"/>
  <c r="I10" i="19" s="1"/>
  <c r="H11" i="19"/>
  <c r="I7" i="19"/>
  <c r="I8" i="19"/>
  <c r="I11" i="19"/>
  <c r="J7" i="19"/>
  <c r="J8" i="19"/>
  <c r="J11" i="19"/>
  <c r="O7" i="19"/>
  <c r="O8" i="19"/>
  <c r="O9" i="19"/>
  <c r="O10" i="19"/>
  <c r="O11" i="19"/>
  <c r="U7" i="19"/>
  <c r="U8" i="19"/>
  <c r="U9" i="19"/>
  <c r="W10" i="19" s="1"/>
  <c r="U10" i="19"/>
  <c r="U11" i="19"/>
  <c r="W11" i="19" l="1"/>
  <c r="J10" i="19"/>
  <c r="J9" i="19"/>
  <c r="H6" i="19" l="1"/>
  <c r="I6" i="19" s="1"/>
  <c r="O6" i="19"/>
  <c r="U6" i="19"/>
  <c r="C5" i="19"/>
  <c r="H5" i="19"/>
  <c r="I5" i="19" s="1"/>
  <c r="O5" i="19"/>
  <c r="U5" i="19"/>
  <c r="W6" i="19" l="1"/>
  <c r="W9" i="19"/>
  <c r="W7" i="19"/>
  <c r="W8" i="19"/>
  <c r="J6" i="19"/>
  <c r="J5" i="19"/>
  <c r="C4" i="19"/>
  <c r="B4" i="19"/>
  <c r="U4" i="19"/>
  <c r="H4" i="19"/>
  <c r="V9" i="19" l="1"/>
  <c r="V5" i="19"/>
  <c r="B5" i="19" s="1"/>
  <c r="V6" i="19"/>
  <c r="V10" i="19"/>
  <c r="B10" i="19" s="1"/>
  <c r="V8" i="19"/>
  <c r="B8" i="19" s="1"/>
  <c r="V7" i="19"/>
  <c r="B7" i="19" s="1"/>
  <c r="V11" i="19"/>
  <c r="B11" i="19"/>
  <c r="C10" i="19"/>
  <c r="D10" i="19" s="1"/>
  <c r="C7" i="19"/>
  <c r="D7" i="19" s="1"/>
  <c r="C11" i="19"/>
  <c r="D11" i="19" s="1"/>
  <c r="B9" i="19"/>
  <c r="C8" i="19"/>
  <c r="D8" i="19" s="1"/>
  <c r="C9" i="19"/>
  <c r="D9" i="19" s="1"/>
  <c r="B6" i="19"/>
  <c r="C6" i="19"/>
  <c r="D6" i="19" s="1"/>
  <c r="J4" i="19"/>
  <c r="I4" i="19"/>
  <c r="O4" i="19"/>
</calcChain>
</file>

<file path=xl/sharedStrings.xml><?xml version="1.0" encoding="utf-8"?>
<sst xmlns="http://schemas.openxmlformats.org/spreadsheetml/2006/main" count="332" uniqueCount="299">
  <si>
    <t>EA</t>
  </si>
  <si>
    <t xml:space="preserve">Enter package GUID in B1: </t>
  </si>
  <si>
    <t>Status</t>
  </si>
  <si>
    <t>Version</t>
  </si>
  <si>
    <t>Name (FR)</t>
  </si>
  <si>
    <t>Name (EN)</t>
  </si>
  <si>
    <t>VI</t>
  </si>
  <si>
    <t>EAGUID</t>
  </si>
  <si>
    <t>EAID</t>
  </si>
  <si>
    <t>Property_Modified</t>
  </si>
  <si>
    <t>Property_Type</t>
  </si>
  <si>
    <t>Property_Stereotype</t>
  </si>
  <si>
    <t>Property_Name</t>
  </si>
  <si>
    <t>Property_Alias</t>
  </si>
  <si>
    <t>Property_Status</t>
  </si>
  <si>
    <t>Property_Version</t>
  </si>
  <si>
    <t>Property_Notes</t>
  </si>
  <si>
    <t>Custom_ExcelModified</t>
  </si>
  <si>
    <t>Custom_EAPackageID</t>
  </si>
  <si>
    <t>Custom_EAParentID</t>
  </si>
  <si>
    <t>Custom_EAGUID</t>
  </si>
  <si>
    <t>Custom_EAID</t>
  </si>
  <si>
    <t>Custom_EAParentObjectTypeID</t>
  </si>
  <si>
    <t>Custom_EAObjectTypeID</t>
  </si>
  <si>
    <t>EA : Sparx EA Properties</t>
  </si>
  <si>
    <t>Version Information</t>
  </si>
  <si>
    <t>S12</t>
  </si>
  <si>
    <t>Enter Table Name in B3:</t>
  </si>
  <si>
    <t>Enter Worksheet Name in B2:</t>
  </si>
  <si>
    <t>TagValue_Name (FR)</t>
  </si>
  <si>
    <t>Notes (EN)</t>
  </si>
  <si>
    <t>Notes (FR)</t>
  </si>
  <si>
    <t>TagNotes_Notes (FR)</t>
  </si>
  <si>
    <t>RoleTag</t>
  </si>
  <si>
    <t>ParamTag</t>
  </si>
  <si>
    <t>ProjectRole</t>
  </si>
  <si>
    <t>DocumentGenerator</t>
  </si>
  <si>
    <t>MailInterface</t>
  </si>
  <si>
    <t>Package 1</t>
  </si>
  <si>
    <t>Element 1</t>
  </si>
  <si>
    <t>Element 1.2</t>
  </si>
  <si>
    <t>Element 1.1</t>
  </si>
  <si>
    <t>Row#</t>
  </si>
  <si>
    <t>Class</t>
  </si>
  <si>
    <t>Requirement</t>
  </si>
  <si>
    <t>Parent Row</t>
  </si>
  <si>
    <t>Package Row</t>
  </si>
  <si>
    <t>EA ParentID</t>
  </si>
  <si>
    <t>EA Parent TypeID</t>
  </si>
  <si>
    <t>EA PackageID</t>
  </si>
  <si>
    <t>EA Modified Date</t>
  </si>
  <si>
    <t>Excel Modified Date</t>
  </si>
  <si>
    <t>EA TypeID</t>
  </si>
  <si>
    <t>EA Type</t>
  </si>
  <si>
    <t>EA Stereotype</t>
  </si>
  <si>
    <t>Alias (EN)</t>
  </si>
  <si>
    <t>TagValue_Alias (FR)</t>
  </si>
  <si>
    <t>Alias (FR)</t>
  </si>
  <si>
    <t>Keywords (EN)</t>
  </si>
  <si>
    <t>Keywords (FR)</t>
  </si>
  <si>
    <t>TagValue_Keywords (FR)</t>
  </si>
  <si>
    <t>TagValue_Authority/Source (EN)</t>
  </si>
  <si>
    <t>TagValue_Authority/Source (FR)</t>
  </si>
  <si>
    <t>Authority / Source (EN)</t>
  </si>
  <si>
    <t>Authority / Source (FR)</t>
  </si>
  <si>
    <t>Comments (EN)</t>
  </si>
  <si>
    <t>Comments (FR)</t>
  </si>
  <si>
    <t>TagNotes_Comments (EN)</t>
  </si>
  <si>
    <t>TagNotes_Comments (FR)</t>
  </si>
  <si>
    <t>Proposed</t>
  </si>
  <si>
    <t>Verified</t>
  </si>
  <si>
    <t>Validated</t>
  </si>
  <si>
    <t>Accepted</t>
  </si>
  <si>
    <t>Defective</t>
  </si>
  <si>
    <t>Rejected</t>
  </si>
  <si>
    <t>Replaced</t>
  </si>
  <si>
    <t>Retired</t>
  </si>
  <si>
    <t>Parked</t>
  </si>
  <si>
    <t>EAObject TypeIDs</t>
  </si>
  <si>
    <t>EN</t>
  </si>
  <si>
    <t>FR</t>
  </si>
  <si>
    <t>English Version</t>
  </si>
  <si>
    <t>French Version</t>
  </si>
  <si>
    <t>Excel Modified Date (Set by Script)</t>
  </si>
  <si>
    <t>TypeID</t>
  </si>
  <si>
    <t>TypeName</t>
  </si>
  <si>
    <t>Element 1.1 Attribute 1</t>
  </si>
  <si>
    <t>Element 1.2 Attribute 1</t>
  </si>
  <si>
    <t>Element 1.1 Attribute 2</t>
  </si>
  <si>
    <t>Element 1.2 Attribute 2</t>
  </si>
  <si>
    <t>Notes 1</t>
  </si>
  <si>
    <t>Notes 2</t>
  </si>
  <si>
    <t>Notes 3</t>
  </si>
  <si>
    <t>Notes 4</t>
  </si>
  <si>
    <t>Notes 5</t>
  </si>
  <si>
    <t>Notes 6</t>
  </si>
  <si>
    <t>Notes 7</t>
  </si>
  <si>
    <t>Notes 8</t>
  </si>
  <si>
    <t>Alias 1</t>
  </si>
  <si>
    <t>Keywords 1</t>
  </si>
  <si>
    <t>Notes (FR) 1</t>
  </si>
  <si>
    <t>Name (FR) 1</t>
  </si>
  <si>
    <t>Alias (FR) 1</t>
  </si>
  <si>
    <t>Keywords (FR) 1</t>
  </si>
  <si>
    <t>Authority (FR) 1</t>
  </si>
  <si>
    <t>Comments (FR) 1</t>
  </si>
  <si>
    <t>Alias 2</t>
  </si>
  <si>
    <t>Keywords 2</t>
  </si>
  <si>
    <t>Name (FR) 2</t>
  </si>
  <si>
    <t>Notes (FR) 2</t>
  </si>
  <si>
    <t>Alias (FR) 2</t>
  </si>
  <si>
    <t>Keywords (FR) 2</t>
  </si>
  <si>
    <t>Authority (FR) 2</t>
  </si>
  <si>
    <t>Comments (FR) 2</t>
  </si>
  <si>
    <t>Alias 3</t>
  </si>
  <si>
    <t>Keywords 3</t>
  </si>
  <si>
    <t>Name (FR) 3</t>
  </si>
  <si>
    <t>Notes (FR) 3</t>
  </si>
  <si>
    <t>Alias (FR) 3</t>
  </si>
  <si>
    <t>Keywords (FR) 3</t>
  </si>
  <si>
    <t>Authority (FR) 3</t>
  </si>
  <si>
    <t>Comments (FR) 3</t>
  </si>
  <si>
    <t>Alias 4</t>
  </si>
  <si>
    <t>Keywords 4</t>
  </si>
  <si>
    <t>Name (FR) 4</t>
  </si>
  <si>
    <t>Notes (FR) 4</t>
  </si>
  <si>
    <t>Alias (FR) 4</t>
  </si>
  <si>
    <t>Keywords (FR) 4</t>
  </si>
  <si>
    <t>Authority (FR) 4</t>
  </si>
  <si>
    <t>Comments (FR) 4</t>
  </si>
  <si>
    <t>Alias 5</t>
  </si>
  <si>
    <t>Keywords 5</t>
  </si>
  <si>
    <t>Name (FR) 5</t>
  </si>
  <si>
    <t>Notes (FR) 5</t>
  </si>
  <si>
    <t>Alias (FR) 5</t>
  </si>
  <si>
    <t>Keywords (FR) 5</t>
  </si>
  <si>
    <t>Authority (FR) 5</t>
  </si>
  <si>
    <t>Comments (FR) 5</t>
  </si>
  <si>
    <t>Alias 6</t>
  </si>
  <si>
    <t>Keywords 6</t>
  </si>
  <si>
    <t>Name (FR) 6</t>
  </si>
  <si>
    <t>Notes (FR) 6</t>
  </si>
  <si>
    <t>Alias (FR) 6</t>
  </si>
  <si>
    <t>Keywords (FR) 6</t>
  </si>
  <si>
    <t>Authority (FR) 6</t>
  </si>
  <si>
    <t>Comments (FR) 6</t>
  </si>
  <si>
    <t>Alias 7</t>
  </si>
  <si>
    <t>Keywords 7</t>
  </si>
  <si>
    <t>Name (FR) 7</t>
  </si>
  <si>
    <t>Notes (FR) 7</t>
  </si>
  <si>
    <t>Alias (FR) 7</t>
  </si>
  <si>
    <t>Keywords (FR) 7</t>
  </si>
  <si>
    <t>Authority (FR) 7</t>
  </si>
  <si>
    <t>Comments (FR) 7</t>
  </si>
  <si>
    <t>Alias 8</t>
  </si>
  <si>
    <t>Keywords 8</t>
  </si>
  <si>
    <t>Name (FR) 8</t>
  </si>
  <si>
    <t>Notes (FR) 8</t>
  </si>
  <si>
    <t>Alias (FR) 8</t>
  </si>
  <si>
    <t>Keywords (FR) 8</t>
  </si>
  <si>
    <t>Authority (FR) 8</t>
  </si>
  <si>
    <t>Comments (FR) 8</t>
  </si>
  <si>
    <t>Authority (EN) 1</t>
  </si>
  <si>
    <t>Authority (EN) 2</t>
  </si>
  <si>
    <t>Authority (EN) 3</t>
  </si>
  <si>
    <t>Authority (EN) 4</t>
  </si>
  <si>
    <t>Authority (EN) 5</t>
  </si>
  <si>
    <t>Authority (EN) 6</t>
  </si>
  <si>
    <t>Authority (EN) 7</t>
  </si>
  <si>
    <t>Authority (EN) 8</t>
  </si>
  <si>
    <t>Comments (EN) 2</t>
  </si>
  <si>
    <t>Comments (EN) 1</t>
  </si>
  <si>
    <t>Comments (EN) 3</t>
  </si>
  <si>
    <t>Comments (EN) 4</t>
  </si>
  <si>
    <t>Comments (EN) 5</t>
  </si>
  <si>
    <t>Comments (EN) 6</t>
  </si>
  <si>
    <t>Comments (EN) 7</t>
  </si>
  <si>
    <t>Comments (EN) 8</t>
  </si>
  <si>
    <t>Element Types</t>
  </si>
  <si>
    <t>Action</t>
  </si>
  <si>
    <t>Activity</t>
  </si>
  <si>
    <t>ActivityPartition</t>
  </si>
  <si>
    <t>ActivityRegion</t>
  </si>
  <si>
    <t>Actor</t>
  </si>
  <si>
    <t>Artifact</t>
  </si>
  <si>
    <t>Association</t>
  </si>
  <si>
    <t>Boundary</t>
  </si>
  <si>
    <t>Change</t>
  </si>
  <si>
    <t>Collaboration</t>
  </si>
  <si>
    <t>Component</t>
  </si>
  <si>
    <t>Constraint</t>
  </si>
  <si>
    <t>Decision</t>
  </si>
  <si>
    <t>DeploymentSpecification</t>
  </si>
  <si>
    <t>DiagramFrame</t>
  </si>
  <si>
    <t>EmbeddedElement</t>
  </si>
  <si>
    <t>Entity</t>
  </si>
  <si>
    <t>EntryPoint</t>
  </si>
  <si>
    <t>Event</t>
  </si>
  <si>
    <t>ExceptionHandler</t>
  </si>
  <si>
    <t>ExitPoint</t>
  </si>
  <si>
    <t>ExpansionNode</t>
  </si>
  <si>
    <t>ExpansionRegion</t>
  </si>
  <si>
    <t>GUIElement InteractionFragment</t>
  </si>
  <si>
    <t>InteractionOccurrence</t>
  </si>
  <si>
    <t>InteractionState</t>
  </si>
  <si>
    <t>Interface</t>
  </si>
  <si>
    <t>InterruptibleActivityRegion</t>
  </si>
  <si>
    <t>Issue</t>
  </si>
  <si>
    <t>Node</t>
  </si>
  <si>
    <t>Note</t>
  </si>
  <si>
    <t>Object</t>
  </si>
  <si>
    <t>Package</t>
  </si>
  <si>
    <t>Parameter</t>
  </si>
  <si>
    <t>Part</t>
  </si>
  <si>
    <t>Port</t>
  </si>
  <si>
    <t>ProvidedInterface</t>
  </si>
  <si>
    <t>Report</t>
  </si>
  <si>
    <t>RequiredInterface</t>
  </si>
  <si>
    <t>Screen</t>
  </si>
  <si>
    <t>Sequence</t>
  </si>
  <si>
    <t>State</t>
  </si>
  <si>
    <t>StateNode</t>
  </si>
  <si>
    <t>Synchronization</t>
  </si>
  <si>
    <t>Text</t>
  </si>
  <si>
    <t>TimeLine</t>
  </si>
  <si>
    <t>UMLDiagram</t>
  </si>
  <si>
    <t>UseCase</t>
  </si>
  <si>
    <t>Property_Tag</t>
  </si>
  <si>
    <t>Property_Subtype</t>
  </si>
  <si>
    <t>EA Subtype</t>
  </si>
  <si>
    <t>Import</t>
  </si>
  <si>
    <t>Column1</t>
  </si>
  <si>
    <t>S122</t>
  </si>
  <si>
    <t>GRP</t>
  </si>
  <si>
    <t>ID</t>
  </si>
  <si>
    <t>TagValue_Tracking Group</t>
  </si>
  <si>
    <t>TagValue_Tracking ID</t>
  </si>
  <si>
    <t>NM</t>
  </si>
  <si>
    <t>New</t>
  </si>
  <si>
    <t>DT</t>
  </si>
  <si>
    <t>Data Type and Hierarchy</t>
  </si>
  <si>
    <t>TagValue_Tracking Code</t>
  </si>
  <si>
    <t>GRPID</t>
  </si>
  <si>
    <t>Full Name (EN)</t>
  </si>
  <si>
    <t>Full Name (FR)</t>
  </si>
  <si>
    <t>E1</t>
  </si>
  <si>
    <t>P1</t>
  </si>
  <si>
    <t>Reference</t>
  </si>
  <si>
    <t>Diagram</t>
  </si>
  <si>
    <t>Element</t>
  </si>
  <si>
    <t>EA Object Type Name</t>
  </si>
  <si>
    <t>Attribute</t>
  </si>
  <si>
    <t>AttributeConstraint</t>
  </si>
  <si>
    <t>AttributeTag</t>
  </si>
  <si>
    <t>Author</t>
  </si>
  <si>
    <t>Client</t>
  </si>
  <si>
    <t>Collection</t>
  </si>
  <si>
    <t>Connector</t>
  </si>
  <si>
    <t>ConnectorConstraint</t>
  </si>
  <si>
    <t>ConnectorEnd</t>
  </si>
  <si>
    <t>ConnectorTag</t>
  </si>
  <si>
    <t>CustomProperty</t>
  </si>
  <si>
    <t>Datatype</t>
  </si>
  <si>
    <t>DiagramLink</t>
  </si>
  <si>
    <t>DiagramObject</t>
  </si>
  <si>
    <t>Effort</t>
  </si>
  <si>
    <t>EventProperties</t>
  </si>
  <si>
    <t>EventProperty</t>
  </si>
  <si>
    <t>File</t>
  </si>
  <si>
    <t>Method</t>
  </si>
  <si>
    <t>MethodConstraint</t>
  </si>
  <si>
    <t>MethodTag</t>
  </si>
  <si>
    <t>Metric</t>
  </si>
  <si>
    <t>Model</t>
  </si>
  <si>
    <t>ModelWatcher</t>
  </si>
  <si>
    <t>Partition</t>
  </si>
  <si>
    <t>Project</t>
  </si>
  <si>
    <t>ProjectIssues</t>
  </si>
  <si>
    <t>ProjectResource</t>
  </si>
  <si>
    <t>Properties</t>
  </si>
  <si>
    <t>Property</t>
  </si>
  <si>
    <t>PropertyType</t>
  </si>
  <si>
    <t>Repository</t>
  </si>
  <si>
    <t>Resource</t>
  </si>
  <si>
    <t>Risk</t>
  </si>
  <si>
    <t>Scenario</t>
  </si>
  <si>
    <t>ScenarioExtension</t>
  </si>
  <si>
    <t>ScenarioStep</t>
  </si>
  <si>
    <t>Stereotype</t>
  </si>
  <si>
    <t>Swimlane</t>
  </si>
  <si>
    <t>SwimlaneDef</t>
  </si>
  <si>
    <t>Swimlanes</t>
  </si>
  <si>
    <t>TaggedValue</t>
  </si>
  <si>
    <t>Task</t>
  </si>
  <si>
    <t>Term</t>
  </si>
  <si>
    <t>Test</t>
  </si>
  <si>
    <t>Transition</t>
  </si>
  <si>
    <t>Use Cell Reference</t>
  </si>
  <si>
    <t>{B990C733-78C7-4053-A4C3-F8278B1CB0FE}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</si>
</sst>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_)"/>
    <numFmt numFmtId="165" formatCode="yyyy/mm/dd\ hh:mm:ss"/>
    <numFmt numFmtId="166" formatCode="yyyy\-mm\-dd;@"/>
  </numFmts>
  <fonts count="37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sz val="12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name val="Courier"/>
      <family val="3"/>
    </font>
    <font>
      <sz val="4"/>
      <color theme="1"/>
      <name val="Arial"/>
      <family val="2"/>
    </font>
    <font>
      <sz val="10"/>
      <color theme="1"/>
      <name val="Arial"/>
      <family val="2"/>
    </font>
    <font>
      <sz val="10"/>
      <color theme="2" tint="-0.249977111117893"/>
      <name val="Arial"/>
      <family val="2"/>
    </font>
    <font>
      <b/>
      <sz val="14"/>
      <name val="Arial"/>
      <family val="2"/>
    </font>
    <font>
      <sz val="10"/>
      <color theme="4" tint="0.39997558519241921"/>
      <name val="Arial"/>
      <family val="2"/>
    </font>
    <font>
      <sz val="10"/>
      <color theme="6" tint="0.39997558519241921"/>
      <name val="Arial"/>
      <family val="2"/>
    </font>
    <font>
      <sz val="8"/>
      <color theme="1" tint="4.9989318521683403E-2"/>
      <name val="Arial"/>
      <family val="2"/>
    </font>
    <font>
      <sz val="10"/>
      <color theme="0"/>
      <name val="Arial"/>
      <family val="2"/>
    </font>
    <font>
      <sz val="10"/>
      <color theme="7" tint="0.39997558519241921"/>
      <name val="Arial"/>
      <family val="2"/>
    </font>
    <font>
      <sz val="10"/>
      <color theme="9"/>
      <name val="Arial"/>
      <family val="2"/>
    </font>
    <font>
      <b/>
      <sz val="8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4" applyNumberFormat="0" applyAlignment="0" applyProtection="0"/>
    <xf numFmtId="0" fontId="13" fillId="9" borderId="5" applyNumberFormat="0" applyAlignment="0" applyProtection="0"/>
    <xf numFmtId="0" fontId="14" fillId="9" borderId="4" applyNumberFormat="0" applyAlignment="0" applyProtection="0"/>
    <xf numFmtId="0" fontId="15" fillId="0" borderId="6" applyNumberFormat="0" applyFill="0" applyAlignment="0" applyProtection="0"/>
    <xf numFmtId="0" fontId="16" fillId="10" borderId="7" applyNumberFormat="0" applyAlignment="0" applyProtection="0"/>
    <xf numFmtId="0" fontId="17" fillId="0" borderId="0" applyNumberFormat="0" applyFill="0" applyBorder="0" applyAlignment="0" applyProtection="0"/>
    <xf numFmtId="0" fontId="4" fillId="11" borderId="8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9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9" fillId="35" borderId="0" applyNumberFormat="0" applyBorder="0" applyAlignment="0" applyProtection="0"/>
    <xf numFmtId="0" fontId="20" fillId="0" borderId="0"/>
    <xf numFmtId="0" fontId="21" fillId="0" borderId="0"/>
    <xf numFmtId="0" fontId="20" fillId="0" borderId="0"/>
    <xf numFmtId="164" fontId="25" fillId="0" borderId="0"/>
  </cellStyleXfs>
  <cellXfs count="88">
    <xf numFmtId="0" fontId="0" fillId="0" borderId="0" xfId="0"/>
    <xf numFmtId="0" fontId="1" fillId="0" borderId="0" xfId="0" applyFont="1"/>
    <xf numFmtId="0" fontId="0" fillId="0" borderId="0" xfId="0" applyBorder="1"/>
    <xf numFmtId="0" fontId="3" fillId="0" borderId="0" xfId="0" applyFont="1" applyFill="1" applyAlignment="1"/>
    <xf numFmtId="0" fontId="3" fillId="0" borderId="0" xfId="0" applyFont="1" applyAlignment="1"/>
    <xf numFmtId="0" fontId="1" fillId="0" borderId="0" xfId="0" applyFont="1"/>
    <xf numFmtId="0" fontId="0" fillId="0" borderId="0" xfId="0"/>
    <xf numFmtId="0" fontId="0" fillId="0" borderId="0" xfId="0" applyAlignment="1">
      <alignment wrapText="1"/>
    </xf>
    <xf numFmtId="0" fontId="24" fillId="0" borderId="0" xfId="0" applyFont="1"/>
    <xf numFmtId="0" fontId="0" fillId="0" borderId="0" xfId="0" applyFont="1"/>
    <xf numFmtId="0" fontId="0" fillId="0" borderId="0" xfId="0" applyAlignment="1"/>
    <xf numFmtId="165" fontId="0" fillId="0" borderId="0" xfId="0" applyNumberFormat="1" applyAlignment="1"/>
    <xf numFmtId="0" fontId="1" fillId="0" borderId="0" xfId="0" applyFont="1" applyBorder="1"/>
    <xf numFmtId="1" fontId="24" fillId="0" borderId="0" xfId="0" applyNumberFormat="1" applyFont="1" applyAlignment="1"/>
    <xf numFmtId="1" fontId="24" fillId="0" borderId="0" xfId="0" applyNumberFormat="1" applyFont="1" applyFill="1" applyAlignment="1">
      <alignment horizontal="left" vertical="top" wrapText="1"/>
    </xf>
    <xf numFmtId="0" fontId="24" fillId="0" borderId="0" xfId="0" applyFont="1" applyFill="1" applyAlignment="1">
      <alignment horizontal="left" vertical="top" wrapText="1"/>
    </xf>
    <xf numFmtId="165" fontId="24" fillId="0" borderId="0" xfId="0" applyNumberFormat="1" applyFont="1" applyFill="1" applyAlignment="1">
      <alignment horizontal="left" vertical="top" wrapText="1"/>
    </xf>
    <xf numFmtId="0" fontId="27" fillId="0" borderId="0" xfId="0" applyFont="1" applyFill="1" applyAlignment="1">
      <alignment horizontal="left" vertical="top" wrapText="1"/>
    </xf>
    <xf numFmtId="0" fontId="27" fillId="4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23" fillId="36" borderId="0" xfId="0" applyFont="1" applyFill="1" applyAlignment="1"/>
    <xf numFmtId="0" fontId="23" fillId="36" borderId="0" xfId="0" applyFont="1" applyFill="1" applyAlignment="1">
      <alignment horizontal="left"/>
    </xf>
    <xf numFmtId="0" fontId="2" fillId="36" borderId="0" xfId="0" applyFont="1" applyFill="1" applyAlignment="1"/>
    <xf numFmtId="0" fontId="3" fillId="37" borderId="0" xfId="0" applyFont="1" applyFill="1" applyAlignment="1"/>
    <xf numFmtId="0" fontId="0" fillId="0" borderId="0" xfId="0"/>
    <xf numFmtId="0" fontId="1" fillId="0" borderId="0" xfId="0" applyFont="1"/>
    <xf numFmtId="0" fontId="3" fillId="3" borderId="0" xfId="0" applyFont="1" applyFill="1" applyAlignment="1"/>
    <xf numFmtId="0" fontId="0" fillId="0" borderId="0" xfId="0" applyAlignment="1"/>
    <xf numFmtId="0" fontId="0" fillId="0" borderId="0" xfId="0" applyAlignment="1">
      <alignment wrapText="1"/>
    </xf>
    <xf numFmtId="0" fontId="24" fillId="0" borderId="0" xfId="0" applyFont="1"/>
    <xf numFmtId="0" fontId="24" fillId="0" borderId="0" xfId="0" applyFont="1" applyAlignment="1"/>
    <xf numFmtId="165" fontId="22" fillId="36" borderId="0" xfId="0" applyNumberFormat="1" applyFont="1" applyFill="1" applyAlignment="1"/>
    <xf numFmtId="166" fontId="23" fillId="2" borderId="0" xfId="0" applyNumberFormat="1" applyFont="1" applyFill="1" applyAlignment="1">
      <alignment horizontal="left" vertical="top"/>
    </xf>
    <xf numFmtId="166" fontId="24" fillId="0" borderId="0" xfId="0" applyNumberFormat="1" applyFont="1" applyFill="1" applyAlignment="1">
      <alignment horizontal="left" vertical="top" wrapText="1"/>
    </xf>
    <xf numFmtId="166" fontId="24" fillId="0" borderId="0" xfId="0" applyNumberFormat="1" applyFont="1"/>
    <xf numFmtId="0" fontId="30" fillId="4" borderId="0" xfId="0" applyFont="1" applyFill="1" applyAlignment="1">
      <alignment horizontal="left" vertical="top" wrapText="1"/>
    </xf>
    <xf numFmtId="0" fontId="31" fillId="4" borderId="0" xfId="0" applyFont="1" applyFill="1" applyAlignment="1">
      <alignment horizontal="left" vertical="top" wrapText="1"/>
    </xf>
    <xf numFmtId="0" fontId="29" fillId="3" borderId="0" xfId="0" applyFont="1" applyFill="1" applyAlignment="1">
      <alignment horizontal="left" wrapText="1"/>
    </xf>
    <xf numFmtId="0" fontId="32" fillId="0" borderId="0" xfId="0" applyFont="1" applyFill="1" applyAlignment="1">
      <alignment horizontal="left" vertical="top" wrapText="1"/>
    </xf>
    <xf numFmtId="0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6" fontId="0" fillId="0" borderId="0" xfId="0" applyNumberFormat="1" applyFont="1" applyFill="1" applyAlignment="1"/>
    <xf numFmtId="0" fontId="0" fillId="0" borderId="0" xfId="0" quotePrefix="1" applyFont="1" applyFill="1" applyAlignment="1"/>
    <xf numFmtId="0" fontId="0" fillId="0" borderId="0" xfId="0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166" fontId="24" fillId="0" borderId="0" xfId="0" applyNumberFormat="1" applyFont="1" applyAlignment="1"/>
    <xf numFmtId="0" fontId="29" fillId="3" borderId="0" xfId="0" applyFont="1" applyFill="1" applyAlignment="1">
      <alignment vertical="top"/>
    </xf>
    <xf numFmtId="0" fontId="33" fillId="0" borderId="0" xfId="0" applyFont="1" applyFill="1" applyAlignment="1">
      <alignment horizontal="left" vertical="top" wrapText="1"/>
    </xf>
    <xf numFmtId="0" fontId="3" fillId="39" borderId="0" xfId="0" applyFont="1" applyFill="1" applyAlignment="1"/>
    <xf numFmtId="0" fontId="29" fillId="39" borderId="0" xfId="0" applyFont="1" applyFill="1" applyAlignment="1">
      <alignment vertical="top"/>
    </xf>
    <xf numFmtId="0" fontId="34" fillId="0" borderId="0" xfId="0" applyFont="1" applyFill="1" applyAlignment="1">
      <alignment horizontal="left" vertical="top" wrapText="1"/>
    </xf>
    <xf numFmtId="0" fontId="0" fillId="0" borderId="0" xfId="0"/>
    <xf numFmtId="0" fontId="24" fillId="0" borderId="0" xfId="0" applyFont="1" applyAlignment="1"/>
    <xf numFmtId="1" fontId="24" fillId="0" borderId="0" xfId="0" applyNumberFormat="1" applyFont="1" applyAlignment="1"/>
    <xf numFmtId="1" fontId="24" fillId="0" borderId="0" xfId="0" applyNumberFormat="1" applyFont="1" applyFill="1" applyAlignment="1">
      <alignment horizontal="left" vertical="top" wrapText="1"/>
    </xf>
    <xf numFmtId="0" fontId="24" fillId="0" borderId="0" xfId="0" applyFont="1" applyFill="1" applyAlignment="1">
      <alignment horizontal="left" vertical="top" wrapText="1"/>
    </xf>
    <xf numFmtId="0" fontId="23" fillId="36" borderId="0" xfId="0" applyFont="1" applyFill="1" applyAlignment="1"/>
    <xf numFmtId="0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35" fillId="0" borderId="0" xfId="0" applyFont="1" applyFill="1" applyAlignment="1">
      <alignment horizontal="left" vertical="top" wrapText="1"/>
    </xf>
    <xf numFmtId="0" fontId="26" fillId="38" borderId="0" xfId="0" applyFont="1" applyFill="1" applyAlignment="1">
      <alignment horizontal="left"/>
    </xf>
    <xf numFmtId="0" fontId="26" fillId="38" borderId="0" xfId="0" applyFont="1" applyFill="1" applyAlignment="1">
      <alignment horizontal="left" wrapText="1"/>
    </xf>
    <xf numFmtId="0" fontId="26" fillId="38" borderId="0" xfId="0" applyFont="1" applyFill="1" applyAlignment="1">
      <alignment wrapText="1"/>
    </xf>
    <xf numFmtId="0" fontId="26" fillId="38" borderId="0" xfId="0" applyNumberFormat="1" applyFont="1" applyFill="1" applyAlignment="1">
      <alignment wrapText="1"/>
    </xf>
    <xf numFmtId="1" fontId="26" fillId="38" borderId="0" xfId="0" applyNumberFormat="1" applyFont="1" applyFill="1" applyAlignment="1">
      <alignment wrapText="1"/>
    </xf>
    <xf numFmtId="166" fontId="24" fillId="38" borderId="0" xfId="0" applyNumberFormat="1" applyFont="1" applyFill="1" applyAlignment="1">
      <alignment wrapText="1"/>
    </xf>
    <xf numFmtId="1" fontId="24" fillId="38" borderId="0" xfId="0" applyNumberFormat="1" applyFont="1" applyFill="1" applyAlignment="1">
      <alignment wrapText="1"/>
    </xf>
    <xf numFmtId="1" fontId="24" fillId="0" borderId="0" xfId="0" applyNumberFormat="1" applyFont="1"/>
    <xf numFmtId="166" fontId="36" fillId="40" borderId="0" xfId="0" applyNumberFormat="1" applyFont="1" applyFill="1" applyAlignment="1">
      <alignment horizontal="left" vertical="top"/>
    </xf>
    <xf numFmtId="49" fontId="24" fillId="38" borderId="0" xfId="0" applyNumberFormat="1" applyFont="1" applyFill="1" applyAlignment="1">
      <alignment wrapText="1"/>
    </xf>
    <xf numFmtId="49" fontId="24" fillId="0" borderId="0" xfId="0" applyNumberFormat="1" applyFont="1" applyFill="1" applyAlignment="1">
      <alignment horizontal="left" vertical="top" wrapText="1"/>
    </xf>
    <xf numFmtId="49" fontId="0" fillId="0" borderId="0" xfId="0" applyNumberFormat="1" applyFont="1" applyFill="1" applyAlignment="1"/>
    <xf numFmtId="49" fontId="24" fillId="0" borderId="0" xfId="0" applyNumberFormat="1" applyFont="1"/>
    <xf numFmtId="0" fontId="23" fillId="36" borderId="0" xfId="0" applyFont="1" applyFill="1" applyAlignment="1">
      <alignment wrapText="1"/>
    </xf>
    <xf numFmtId="1" fontId="24" fillId="0" borderId="0" xfId="0" applyNumberFormat="1" applyFont="1" applyAlignment="1">
      <alignment wrapText="1"/>
    </xf>
    <xf numFmtId="166" fontId="26" fillId="41" borderId="0" xfId="0" applyNumberFormat="1" applyFont="1" applyFill="1" applyAlignment="1">
      <alignment wrapText="1"/>
    </xf>
    <xf numFmtId="166" fontId="22" fillId="41" borderId="0" xfId="0" applyNumberFormat="1" applyFont="1" applyFill="1" applyAlignment="1"/>
    <xf numFmtId="166" fontId="24" fillId="41" borderId="0" xfId="0" applyNumberFormat="1" applyFont="1" applyFill="1" applyAlignment="1">
      <alignment horizontal="left" vertical="top" wrapText="1"/>
    </xf>
    <xf numFmtId="166" fontId="0" fillId="41" borderId="0" xfId="0" applyNumberFormat="1" applyFont="1" applyFill="1" applyAlignment="1"/>
    <xf numFmtId="0" fontId="3" fillId="2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/>
    </xf>
    <xf numFmtId="0" fontId="29" fillId="40" borderId="0" xfId="0" applyFont="1" applyFill="1" applyAlignment="1">
      <alignment horizontal="left" vertical="top"/>
    </xf>
    <xf numFmtId="166" fontId="36" fillId="40" borderId="0" xfId="0" applyNumberFormat="1" applyFont="1" applyFill="1" applyAlignment="1">
      <alignment horizontal="center" vertical="top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5"/>
    <cellStyle name="Normal 3" xfId="44"/>
    <cellStyle name="Normal 4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color auto="1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strike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3</xdr:row>
          <xdr:rowOff>57150</xdr:rowOff>
        </xdr:from>
        <xdr:to>
          <xdr:col>1</xdr:col>
          <xdr:colOff>3257550</xdr:colOff>
          <xdr:row>5</xdr:row>
          <xdr:rowOff>180975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Import" displayName="Import" ref="A3:AO11" totalsRowShown="0" headerRowDxfId="44" dataDxfId="43">
  <tableColumns count="41">
    <tableColumn id="73" name="Excel Modified Date (Set by Script)" dataDxfId="42"/>
    <tableColumn id="71" name="EA PackageID" dataDxfId="41">
      <calculatedColumnFormula>IF(ISBLANK(Import[Package Row]),0,INDEX(Import[EAID],MATCH(Import[Package Row],Import[Row'#],0)))</calculatedColumnFormula>
    </tableColumn>
    <tableColumn id="70" name="EA ParentID" dataDxfId="40">
      <calculatedColumnFormula>IF(ISBLANK(Import[Parent Row]),0,INDEX(Import[EAID],MATCH(Import[Parent Row],Import[Row'#],0)))</calculatedColumnFormula>
    </tableColumn>
    <tableColumn id="72" name="EA Parent TypeID" dataDxfId="39">
      <calculatedColumnFormula>IF(ISBLANK(Import[Parent Row]),0,INDEX(Import[EA TypeID],MATCH(Import[EA ParentID],Import[EAID],0)))</calculatedColumnFormula>
    </tableColumn>
    <tableColumn id="12" name="EAGUID" dataDxfId="38"/>
    <tableColumn id="68" name="EAID" dataDxfId="37"/>
    <tableColumn id="5" name="EA TypeID" dataDxfId="36">
      <calculatedColumnFormula>IF(Import[EA Object Type Name]&lt;&gt;"",INDEX(LL_EAObjectTypeIDs[TypeID],MATCH(Import[EA Object Type Name],LL_EAObjectTypeIDs[TypeName],0)),"")</calculatedColumnFormula>
    </tableColumn>
    <tableColumn id="39" name="GRPID" dataDxfId="35">
      <calculatedColumnFormula>IF(ISBLANK(Import[GRP]),"",Import[GRP]&amp; IF(ISBLANK(Import[ID]),"","-" &amp; TEXT(Import[ID],"0000")))</calculatedColumnFormula>
    </tableColumn>
    <tableColumn id="40" name="Full Name (EN)" dataDxfId="34">
      <calculatedColumnFormula>IF(Import[GRPID]="","","[" &amp; Import[GRPID]&amp; "] ") &amp; Import[Name (EN)]</calculatedColumnFormula>
    </tableColumn>
    <tableColumn id="41" name="Full Name (FR)" dataDxfId="33">
      <calculatedColumnFormula>IF(Import[GRPID]="","","[" &amp; Import[GRPID]&amp; "] ") &amp; Import[Name (FR)]</calculatedColumnFormula>
    </tableColumn>
    <tableColumn id="30" name="EA" dataDxfId="32"/>
    <tableColumn id="1" name="Status" dataDxfId="31"/>
    <tableColumn id="2" name="Version" dataDxfId="30"/>
    <tableColumn id="11" name="EA Modified Date" dataDxfId="29"/>
    <tableColumn id="31" name="Excel Modified Date" dataDxfId="28">
      <calculatedColumnFormula>IF(NOT(ISBLANK(Import[Excel Modified Date (Set by Script)])),Import[Excel Modified Date (Set by Script)],"")</calculatedColumnFormula>
    </tableColumn>
    <tableColumn id="38" name="S12" dataDxfId="27"/>
    <tableColumn id="37" name="EA Object Type Name" dataDxfId="26"/>
    <tableColumn id="18" name="EA Type" dataDxfId="25"/>
    <tableColumn id="25" name="EA Subtype" dataDxfId="24"/>
    <tableColumn id="9" name="EA Stereotype" dataDxfId="23"/>
    <tableColumn id="47" name="Row#" dataDxfId="22">
      <calculatedColumnFormula>ROW()</calculatedColumnFormula>
    </tableColumn>
    <tableColumn id="26" name="Package Row" dataDxfId="21"/>
    <tableColumn id="6" name="Parent Row" dataDxfId="20"/>
    <tableColumn id="4" name="S122" dataDxfId="19"/>
    <tableColumn id="34" name="GRP" dataDxfId="18"/>
    <tableColumn id="33" name="ID" dataDxfId="17"/>
    <tableColumn id="54" name="Name (EN)" dataDxfId="16"/>
    <tableColumn id="36" name="Name (FR)" dataDxfId="15"/>
    <tableColumn id="35" name="Column1" dataDxfId="14"/>
    <tableColumn id="16" name="Notes (EN)" dataDxfId="13"/>
    <tableColumn id="7" name="Alias (EN)" dataDxfId="12"/>
    <tableColumn id="22" name="Keywords (EN)" dataDxfId="11"/>
    <tableColumn id="20" name="Authority / Source (EN)" dataDxfId="10"/>
    <tableColumn id="23" name="Comments (EN)" dataDxfId="9"/>
    <tableColumn id="27" name="EN" dataDxfId="8"/>
    <tableColumn id="8" name="Notes (FR)" dataDxfId="7"/>
    <tableColumn id="3" name="Alias (FR)" dataDxfId="6"/>
    <tableColumn id="21" name="Keywords (FR)" dataDxfId="5"/>
    <tableColumn id="24" name="Authority / Source (FR)" dataDxfId="4"/>
    <tableColumn id="28" name="Comments (FR)" dataDxfId="3"/>
    <tableColumn id="19" name="FR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LL_EAObjectTypeIDs" displayName="LL_EAObjectTypeIDs" ref="A2:B62" totalsRowShown="0">
  <autoFilter ref="A2:B62"/>
  <sortState ref="A3:B62">
    <sortCondition ref="A3:A62"/>
  </sortState>
  <tableColumns count="2">
    <tableColumn id="1" name="TypeName"/>
    <tableColumn id="2" name="Type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B11"/>
  <sheetViews>
    <sheetView zoomScaleNormal="100" workbookViewId="0">
      <pane ySplit="2" topLeftCell="A3" activePane="bottomLeft" state="frozen"/>
      <selection activeCell="A2" sqref="A2"/>
      <selection pane="bottomLeft" activeCell="H11" sqref="H11"/>
    </sheetView>
  </sheetViews>
  <sheetFormatPr defaultColWidth="8.88671875" defaultRowHeight="15" customHeight="1" outlineLevelCol="1" x14ac:dyDescent="0.2"/>
  <cols>
    <col min="1" max="1" width="14.6640625" style="49" customWidth="1" outlineLevel="1"/>
    <col min="2" max="2" width="8.88671875" style="30" customWidth="1" outlineLevel="1"/>
    <col min="3" max="3" width="7.6640625" style="30" customWidth="1" outlineLevel="1"/>
    <col min="4" max="4" width="6.6640625" style="30" customWidth="1" outlineLevel="1"/>
    <col min="5" max="5" width="5.44140625" style="30" customWidth="1" outlineLevel="1"/>
    <col min="6" max="6" width="5" style="13" customWidth="1" outlineLevel="1"/>
    <col min="7" max="7" width="9.44140625" style="57" customWidth="1" outlineLevel="1"/>
    <col min="8" max="8" width="10.33203125" style="13" customWidth="1" outlineLevel="1"/>
    <col min="9" max="9" width="11.109375" style="57" customWidth="1" outlineLevel="1"/>
    <col min="10" max="10" width="11.88671875" style="79" customWidth="1" outlineLevel="1"/>
    <col min="11" max="11" width="3.88671875" bestFit="1" customWidth="1"/>
    <col min="12" max="12" width="7.6640625" style="25" customWidth="1" outlineLevel="1"/>
    <col min="13" max="13" width="10.44140625" customWidth="1" outlineLevel="1"/>
    <col min="14" max="14" width="11" style="35" customWidth="1" outlineLevel="1"/>
    <col min="15" max="15" width="12.5546875" style="35" customWidth="1" outlineLevel="1"/>
    <col min="16" max="16" width="3.33203125" style="11" bestFit="1" customWidth="1"/>
    <col min="17" max="17" width="12.5546875" style="77" customWidth="1" outlineLevel="1"/>
    <col min="18" max="18" width="10.88671875" style="31" customWidth="1" outlineLevel="1"/>
    <col min="19" max="19" width="8.77734375" style="31" customWidth="1" outlineLevel="1"/>
    <col min="20" max="20" width="10.33203125" style="31" customWidth="1" outlineLevel="1"/>
    <col min="21" max="21" width="5" style="56" customWidth="1" outlineLevel="1"/>
    <col min="22" max="22" width="5.88671875" style="31" customWidth="1" outlineLevel="1"/>
    <col min="23" max="23" width="6" style="72" customWidth="1" outlineLevel="1"/>
    <col min="24" max="24" width="4" style="11" bestFit="1" customWidth="1"/>
    <col min="25" max="25" width="6.5546875" style="11" customWidth="1" outlineLevel="1"/>
    <col min="26" max="26" width="3.33203125" style="11" customWidth="1" outlineLevel="1"/>
    <col min="27" max="28" width="25" style="25" customWidth="1" outlineLevel="1"/>
    <col min="29" max="29" width="3.77734375" style="25" customWidth="1"/>
    <col min="30" max="30" width="12" style="30" hidden="1" customWidth="1" outlineLevel="1"/>
    <col min="31" max="31" width="11" style="28" hidden="1" customWidth="1" outlineLevel="1"/>
    <col min="32" max="32" width="12.109375" style="25" hidden="1" customWidth="1" outlineLevel="1"/>
    <col min="33" max="33" width="14.77734375" style="25" hidden="1" customWidth="1" outlineLevel="1"/>
    <col min="34" max="34" width="15" style="29" hidden="1" customWidth="1" outlineLevel="1"/>
    <col min="35" max="35" width="3.88671875" style="6" bestFit="1" customWidth="1" collapsed="1"/>
    <col min="36" max="36" width="15.21875" hidden="1" customWidth="1" outlineLevel="1"/>
    <col min="37" max="37" width="10.21875" hidden="1" customWidth="1" outlineLevel="1"/>
    <col min="38" max="38" width="13.77734375" hidden="1" customWidth="1" outlineLevel="1"/>
    <col min="39" max="39" width="13.5546875" style="10" hidden="1" customWidth="1" outlineLevel="1"/>
    <col min="40" max="40" width="14.88671875" style="8" hidden="1" customWidth="1" outlineLevel="1"/>
    <col min="41" max="41" width="3.77734375" style="25" bestFit="1" customWidth="1" collapsed="1"/>
    <col min="45" max="46" width="13.21875" style="6" customWidth="1"/>
    <col min="48" max="51" width="13.21875" style="6" customWidth="1"/>
    <col min="52" max="54" width="24.44140625" style="6" customWidth="1"/>
    <col min="55" max="55" width="31.109375" style="7" customWidth="1" collapsed="1"/>
    <col min="56" max="56" width="13.5546875" style="10" customWidth="1"/>
    <col min="57" max="57" width="3.33203125" style="10" bestFit="1" customWidth="1"/>
    <col min="58" max="58" width="9.88671875" style="7" customWidth="1"/>
    <col min="59" max="59" width="10.44140625" style="7" bestFit="1" customWidth="1"/>
    <col min="60" max="60" width="11" style="10" bestFit="1" customWidth="1"/>
    <col min="61" max="61" width="15.44140625" style="6" customWidth="1"/>
    <col min="62" max="62" width="4.21875" style="6" bestFit="1" customWidth="1"/>
    <col min="63" max="63" width="13.6640625" style="6" customWidth="1"/>
    <col min="64" max="64" width="7.88671875" style="6" bestFit="1" customWidth="1"/>
    <col min="65" max="65" width="13.33203125" style="6" bestFit="1" customWidth="1"/>
    <col min="66" max="66" width="7.88671875" style="10" bestFit="1" customWidth="1"/>
    <col min="67" max="67" width="13.33203125" style="10" bestFit="1" customWidth="1"/>
    <col min="68" max="68" width="10.109375" style="10" bestFit="1" customWidth="1"/>
    <col min="69" max="69" width="7.88671875" style="10" bestFit="1" customWidth="1"/>
    <col min="70" max="70" width="13.33203125" style="10" bestFit="1" customWidth="1"/>
    <col min="71" max="71" width="23.88671875" style="10" customWidth="1"/>
    <col min="72" max="72" width="15.6640625" style="10" customWidth="1"/>
    <col min="73" max="73" width="16" style="10" customWidth="1"/>
    <col min="74" max="74" width="18" style="10" customWidth="1"/>
    <col min="75" max="75" width="4.21875" style="10" bestFit="1" customWidth="1"/>
    <col min="76" max="76" width="18.6640625" style="7" customWidth="1"/>
    <col min="77" max="77" width="17.77734375" style="7" customWidth="1"/>
    <col min="78" max="78" width="18.33203125" style="7" customWidth="1"/>
    <col min="79" max="79" width="4.5546875" style="7" customWidth="1"/>
    <col min="80" max="80" width="5.6640625" style="6" customWidth="1"/>
    <col min="81" max="81" width="20.77734375" style="10" customWidth="1"/>
    <col min="82" max="82" width="18.6640625" style="10" customWidth="1"/>
    <col min="83" max="83" width="24.21875" style="10" customWidth="1"/>
    <col min="84" max="84" width="5.6640625" style="10" customWidth="1"/>
    <col min="85" max="85" width="10" style="10" customWidth="1"/>
    <col min="86" max="86" width="3.88671875" style="10" customWidth="1"/>
    <col min="87" max="87" width="11.5546875" style="10" customWidth="1"/>
    <col min="88" max="88" width="24.5546875" style="10" customWidth="1"/>
    <col min="89" max="89" width="24.21875" style="10" customWidth="1"/>
    <col min="90" max="90" width="5.6640625" style="10" customWidth="1"/>
    <col min="91" max="91" width="18.6640625" style="10" customWidth="1"/>
    <col min="92" max="92" width="17.77734375" style="10" customWidth="1"/>
    <col min="93" max="93" width="18.33203125" style="10" customWidth="1"/>
    <col min="94" max="94" width="17.44140625" style="10" customWidth="1"/>
    <col min="95" max="95" width="5.6640625" style="10" customWidth="1"/>
    <col min="96" max="96" width="20.77734375" style="10" customWidth="1"/>
    <col min="97" max="97" width="18.6640625" style="10" customWidth="1"/>
    <col min="98" max="98" width="24.21875" style="10" customWidth="1"/>
    <col min="99" max="99" width="8.88671875" style="10"/>
    <col min="100" max="100" width="21.109375" style="10" customWidth="1"/>
    <col min="101" max="101" width="24.44140625" style="10" bestFit="1" customWidth="1"/>
    <col min="102" max="102" width="10.77734375" style="10" customWidth="1"/>
    <col min="103" max="103" width="22.88671875" style="10" customWidth="1"/>
    <col min="104" max="104" width="22.44140625" style="10" bestFit="1" customWidth="1"/>
    <col min="105" max="108" width="8.88671875" style="10"/>
    <col min="109" max="109" width="15.88671875" style="10" customWidth="1"/>
    <col min="110" max="110" width="18.109375" style="10" customWidth="1"/>
    <col min="111" max="111" width="22.88671875" style="10" customWidth="1"/>
    <col min="112" max="112" width="22.44140625" style="10" bestFit="1" customWidth="1"/>
    <col min="113" max="114" width="8.88671875" style="10"/>
    <col min="115" max="115" width="4.88671875" style="10" bestFit="1" customWidth="1"/>
    <col min="116" max="116" width="3.77734375" style="10" bestFit="1" customWidth="1"/>
    <col min="117" max="117" width="22.88671875" style="10" bestFit="1" customWidth="1"/>
    <col min="118" max="118" width="22.44140625" style="10" bestFit="1" customWidth="1"/>
    <col min="119" max="119" width="14.44140625" style="10" bestFit="1" customWidth="1"/>
    <col min="120" max="120" width="52.5546875" style="10" bestFit="1" customWidth="1"/>
    <col min="121" max="121" width="16.44140625" style="10" bestFit="1" customWidth="1"/>
    <col min="122" max="122" width="80.88671875" style="10" bestFit="1" customWidth="1"/>
    <col min="123" max="123" width="14.109375" style="10" bestFit="1" customWidth="1"/>
    <col min="124" max="124" width="65" style="10" bestFit="1" customWidth="1"/>
    <col min="125" max="125" width="80.88671875" style="10" bestFit="1" customWidth="1"/>
    <col min="126" max="126" width="42.5546875" style="10" bestFit="1" customWidth="1"/>
    <col min="127" max="127" width="35.88671875" style="10" bestFit="1" customWidth="1"/>
    <col min="128" max="16384" width="8.88671875" style="10"/>
  </cols>
  <sheetData>
    <row r="1" spans="1:42" s="67" customFormat="1" ht="15" customHeight="1" x14ac:dyDescent="0.2">
      <c r="A1" s="80" t="s">
        <v>17</v>
      </c>
      <c r="B1" s="68" t="s">
        <v>18</v>
      </c>
      <c r="C1" s="69" t="s">
        <v>19</v>
      </c>
      <c r="D1" s="69" t="s">
        <v>22</v>
      </c>
      <c r="E1" s="67" t="s">
        <v>20</v>
      </c>
      <c r="F1" s="67" t="s">
        <v>21</v>
      </c>
      <c r="G1" s="66" t="s">
        <v>23</v>
      </c>
      <c r="H1" s="67" t="s">
        <v>241</v>
      </c>
      <c r="I1" s="67" t="s">
        <v>12</v>
      </c>
      <c r="J1" s="67" t="s">
        <v>29</v>
      </c>
      <c r="L1" s="65" t="s">
        <v>14</v>
      </c>
      <c r="M1" s="65" t="s">
        <v>15</v>
      </c>
      <c r="N1" s="70" t="s">
        <v>9</v>
      </c>
      <c r="O1" s="70"/>
      <c r="Q1" s="74"/>
      <c r="R1" s="67" t="s">
        <v>10</v>
      </c>
      <c r="S1" s="67" t="s">
        <v>228</v>
      </c>
      <c r="T1" s="67" t="s">
        <v>11</v>
      </c>
      <c r="W1" s="71"/>
      <c r="Y1" s="67" t="s">
        <v>235</v>
      </c>
      <c r="Z1" s="67" t="s">
        <v>236</v>
      </c>
      <c r="AA1" s="67" t="s">
        <v>12</v>
      </c>
      <c r="AB1" s="67" t="s">
        <v>29</v>
      </c>
      <c r="AD1" s="67" t="s">
        <v>16</v>
      </c>
      <c r="AE1" s="67" t="s">
        <v>13</v>
      </c>
      <c r="AF1" s="67" t="s">
        <v>227</v>
      </c>
      <c r="AG1" s="67" t="s">
        <v>61</v>
      </c>
      <c r="AH1" s="67" t="s">
        <v>67</v>
      </c>
      <c r="AJ1" s="67" t="s">
        <v>32</v>
      </c>
      <c r="AK1" s="67" t="s">
        <v>56</v>
      </c>
      <c r="AL1" s="67" t="s">
        <v>60</v>
      </c>
      <c r="AM1" s="67" t="s">
        <v>62</v>
      </c>
      <c r="AN1" s="67" t="s">
        <v>68</v>
      </c>
    </row>
    <row r="2" spans="1:42" s="4" customFormat="1" ht="18" x14ac:dyDescent="0.25">
      <c r="A2" s="81" t="s">
        <v>24</v>
      </c>
      <c r="B2" s="32"/>
      <c r="C2" s="32"/>
      <c r="D2" s="32"/>
      <c r="E2" s="21"/>
      <c r="F2" s="21"/>
      <c r="G2" s="22"/>
      <c r="H2" s="60"/>
      <c r="I2" s="60"/>
      <c r="J2" s="78"/>
      <c r="K2" s="23" t="s">
        <v>0</v>
      </c>
      <c r="L2" s="84" t="s">
        <v>25</v>
      </c>
      <c r="M2" s="84"/>
      <c r="N2" s="84"/>
      <c r="O2" s="33"/>
      <c r="P2" s="3" t="s">
        <v>6</v>
      </c>
      <c r="Q2" s="86" t="s">
        <v>240</v>
      </c>
      <c r="R2" s="86"/>
      <c r="S2" s="86"/>
      <c r="T2" s="73"/>
      <c r="U2" s="87" t="s">
        <v>297</v>
      </c>
      <c r="V2" s="87"/>
      <c r="W2" s="87"/>
      <c r="X2" s="3" t="s">
        <v>239</v>
      </c>
      <c r="Y2" s="52"/>
      <c r="Z2" s="52"/>
      <c r="AA2" s="53"/>
      <c r="AB2" s="53"/>
      <c r="AC2" s="50" t="s">
        <v>237</v>
      </c>
      <c r="AD2" s="50" t="s">
        <v>81</v>
      </c>
      <c r="AE2" s="50"/>
      <c r="AF2" s="50"/>
      <c r="AG2" s="50"/>
      <c r="AH2" s="38"/>
      <c r="AI2" s="27" t="s">
        <v>79</v>
      </c>
      <c r="AJ2" s="85" t="s">
        <v>82</v>
      </c>
      <c r="AK2" s="85"/>
      <c r="AL2" s="85"/>
      <c r="AM2" s="85"/>
      <c r="AN2" s="85"/>
      <c r="AO2" s="24" t="s">
        <v>80</v>
      </c>
      <c r="AP2" s="3"/>
    </row>
    <row r="3" spans="1:42" s="20" customFormat="1" ht="30.75" customHeight="1" x14ac:dyDescent="0.2">
      <c r="A3" s="82" t="s">
        <v>83</v>
      </c>
      <c r="B3" s="16" t="s">
        <v>49</v>
      </c>
      <c r="C3" s="14" t="s">
        <v>47</v>
      </c>
      <c r="D3" s="14" t="s">
        <v>48</v>
      </c>
      <c r="E3" s="15" t="s">
        <v>7</v>
      </c>
      <c r="F3" s="15" t="s">
        <v>8</v>
      </c>
      <c r="G3" s="59" t="s">
        <v>52</v>
      </c>
      <c r="H3" s="59" t="s">
        <v>242</v>
      </c>
      <c r="I3" s="59" t="s">
        <v>243</v>
      </c>
      <c r="J3" s="59" t="s">
        <v>244</v>
      </c>
      <c r="K3" s="39" t="s">
        <v>0</v>
      </c>
      <c r="L3" s="17" t="s">
        <v>2</v>
      </c>
      <c r="M3" s="18" t="s">
        <v>3</v>
      </c>
      <c r="N3" s="34" t="s">
        <v>50</v>
      </c>
      <c r="O3" s="34" t="s">
        <v>51</v>
      </c>
      <c r="P3" s="19" t="s">
        <v>26</v>
      </c>
      <c r="Q3" s="75" t="s">
        <v>250</v>
      </c>
      <c r="R3" s="15" t="s">
        <v>53</v>
      </c>
      <c r="S3" s="15" t="s">
        <v>229</v>
      </c>
      <c r="T3" s="15" t="s">
        <v>54</v>
      </c>
      <c r="U3" s="59" t="s">
        <v>42</v>
      </c>
      <c r="V3" s="15" t="s">
        <v>46</v>
      </c>
      <c r="W3" s="58" t="s">
        <v>45</v>
      </c>
      <c r="X3" s="54" t="s">
        <v>232</v>
      </c>
      <c r="Y3" s="51" t="s">
        <v>233</v>
      </c>
      <c r="Z3" s="51" t="s">
        <v>234</v>
      </c>
      <c r="AA3" s="17" t="s">
        <v>5</v>
      </c>
      <c r="AB3" s="17" t="s">
        <v>4</v>
      </c>
      <c r="AC3" s="64" t="s">
        <v>231</v>
      </c>
      <c r="AD3" s="18" t="s">
        <v>30</v>
      </c>
      <c r="AE3" s="18" t="s">
        <v>55</v>
      </c>
      <c r="AF3" s="18" t="s">
        <v>58</v>
      </c>
      <c r="AG3" s="18" t="s">
        <v>63</v>
      </c>
      <c r="AH3" s="18" t="s">
        <v>65</v>
      </c>
      <c r="AI3" s="36" t="s">
        <v>79</v>
      </c>
      <c r="AJ3" s="18" t="s">
        <v>31</v>
      </c>
      <c r="AK3" s="18" t="s">
        <v>57</v>
      </c>
      <c r="AL3" s="18" t="s">
        <v>59</v>
      </c>
      <c r="AM3" s="18" t="s">
        <v>64</v>
      </c>
      <c r="AN3" s="18" t="s">
        <v>66</v>
      </c>
      <c r="AO3" s="37" t="s">
        <v>80</v>
      </c>
      <c r="AP3" s="17"/>
    </row>
    <row r="4" spans="1:42" s="42" customFormat="1" ht="15" customHeight="1" x14ac:dyDescent="0.2">
      <c r="A4" s="83">
        <v>42500.6408912037</v>
      </c>
      <c r="B4" s="40">
        <f>IF(ISBLANK(Import[Package Row]),0,INDEX(Import[EAID],MATCH(Import[Package Row],Import[Row'#],0)))</f>
        <v>0</v>
      </c>
      <c r="C4" s="41">
        <f>IF(ISBLANK(Import[Parent Row]),0,INDEX(Import[EAID],MATCH(Import[Parent Row],Import[Row'#],0)))</f>
        <v>0</v>
      </c>
      <c r="D4" s="41">
        <f>IF(ISBLANK(Import[Parent Row]),0,INDEX(Import[EA TypeID],MATCH(Import[EA ParentID],Import[EAID],0)))</f>
        <v>0</v>
      </c>
      <c r="G4" s="44">
        <f>IF(Import[EA Object Type Name]&lt;&gt;"",INDEX(LL_EAObjectTypeIDs[TypeID],MATCH(Import[EA Object Type Name],LL_EAObjectTypeIDs[TypeName],0)),"")</f>
        <v>5</v>
      </c>
      <c r="H4" s="42" t="str">
        <f>IF(ISBLANK(Import[GRP]),"",Import[GRP]&amp; IF(ISBLANK(Import[ID]),"","-" &amp; TEXT(Import[ID],"0000")))</f>
        <v>P1</v>
      </c>
      <c r="I4" s="63" t="str">
        <f>IF(Import[GRPID]="","","[" &amp; Import[GRPID]&amp; "] ") &amp; Import[Name (EN)]</f>
        <v>[P1] Package 1</v>
      </c>
      <c r="J4" s="47" t="str">
        <f>IF(Import[GRPID]="","","[" &amp; Import[GRPID]&amp; "] ") &amp; Import[Name (FR)]</f>
        <v>[P1] Name (FR) 1</v>
      </c>
      <c r="L4" s="42" t="s">
        <v>238</v>
      </c>
      <c r="M4" s="42">
        <v>1</v>
      </c>
      <c r="N4" s="45"/>
      <c r="O4" s="45">
        <f>IF(NOT(ISBLANK(Import[Excel Modified Date (Set by Script)])),Import[Excel Modified Date (Set by Script)],"")</f>
        <v>42500.6408912037</v>
      </c>
      <c r="P4" s="46"/>
      <c r="Q4" s="76" t="s">
        <v>211</v>
      </c>
      <c r="U4" s="63">
        <f>ROW()</f>
        <v>4</v>
      </c>
      <c r="W4" s="62"/>
      <c r="X4" s="46"/>
      <c r="Y4" s="46" t="s">
        <v>246</v>
      </c>
      <c r="Z4" s="46"/>
      <c r="AA4" s="47" t="s">
        <v>38</v>
      </c>
      <c r="AB4" s="47" t="s">
        <v>101</v>
      </c>
      <c r="AC4" s="47"/>
      <c r="AD4" s="47" t="s">
        <v>90</v>
      </c>
      <c r="AE4" s="47" t="s">
        <v>98</v>
      </c>
      <c r="AF4" s="47" t="s">
        <v>99</v>
      </c>
      <c r="AG4" s="47" t="s">
        <v>162</v>
      </c>
      <c r="AH4" s="47" t="s">
        <v>171</v>
      </c>
      <c r="AI4" s="47"/>
      <c r="AJ4" s="47" t="s">
        <v>100</v>
      </c>
      <c r="AK4" s="47" t="s">
        <v>102</v>
      </c>
      <c r="AL4" s="47" t="s">
        <v>103</v>
      </c>
      <c r="AM4" s="47" t="s">
        <v>104</v>
      </c>
      <c r="AN4" s="47" t="s">
        <v>105</v>
      </c>
      <c r="AO4" s="47"/>
    </row>
    <row r="5" spans="1:42" ht="15" customHeight="1" x14ac:dyDescent="0.2">
      <c r="A5" s="83">
        <v>42500.626944444448</v>
      </c>
      <c r="B5" s="61">
        <f>IF(ISBLANK(Import[Package Row]),0,INDEX(Import[EAID],MATCH(Import[Package Row],Import[Row'#],0)))</f>
        <v>0</v>
      </c>
      <c r="C5" s="62">
        <f>IF(ISBLANK(Import[Parent Row]),0,INDEX(Import[EAID],MATCH(Import[Parent Row],Import[Row'#],0)))</f>
        <v>0</v>
      </c>
      <c r="D5" s="62">
        <f>IF(ISBLANK(Import[Parent Row]),0,INDEX(Import[EA TypeID],MATCH(Import[EA ParentID],Import[EAID],0)))</f>
        <v>0</v>
      </c>
      <c r="E5" s="63"/>
      <c r="F5" s="62"/>
      <c r="G5" s="43">
        <f>IF(Import[EA Object Type Name]&lt;&gt;"",INDEX(LL_EAObjectTypeIDs[TypeID],MATCH(Import[EA Object Type Name],LL_EAObjectTypeIDs[TypeName],0)),"")</f>
        <v>4</v>
      </c>
      <c r="H5" s="61" t="str">
        <f>IF(ISBLANK(Import[GRP]),"",Import[GRP]&amp; IF(ISBLANK(Import[ID]),"","-" &amp; TEXT(Import[ID],"0000")))</f>
        <v>E1</v>
      </c>
      <c r="I5" s="61" t="str">
        <f>IF(Import[GRPID]="","","[" &amp; Import[GRPID]&amp; "] ") &amp; Import[Name (EN)]</f>
        <v>[E1] Element 1</v>
      </c>
      <c r="J5" s="48" t="str">
        <f>IF(Import[GRPID]="","","[" &amp; Import[GRPID]&amp; "] ") &amp; Import[Name (FR)]</f>
        <v>[E1] Name (FR) 2</v>
      </c>
      <c r="K5" s="63"/>
      <c r="L5" s="61" t="s">
        <v>74</v>
      </c>
      <c r="M5" s="61"/>
      <c r="N5" s="45"/>
      <c r="O5" s="45">
        <f>IF(NOT(ISBLANK(Import[Excel Modified Date (Set by Script)])),Import[Excel Modified Date (Set by Script)],"")</f>
        <v>42500.626944444448</v>
      </c>
      <c r="P5" s="61"/>
      <c r="Q5" s="76" t="s">
        <v>249</v>
      </c>
      <c r="R5" s="61" t="s">
        <v>44</v>
      </c>
      <c r="S5" s="61"/>
      <c r="T5" s="61"/>
      <c r="U5" s="61">
        <f>ROW()</f>
        <v>5</v>
      </c>
      <c r="V5" s="61">
        <f>$U$4</f>
        <v>4</v>
      </c>
      <c r="W5" s="62"/>
      <c r="X5" s="61"/>
      <c r="Y5" s="61" t="s">
        <v>245</v>
      </c>
      <c r="Z5" s="61"/>
      <c r="AA5" s="48" t="s">
        <v>39</v>
      </c>
      <c r="AB5" s="48" t="s">
        <v>108</v>
      </c>
      <c r="AC5" s="48"/>
      <c r="AD5" s="47" t="s">
        <v>91</v>
      </c>
      <c r="AE5" s="47" t="s">
        <v>106</v>
      </c>
      <c r="AF5" s="47" t="s">
        <v>107</v>
      </c>
      <c r="AG5" s="47" t="s">
        <v>163</v>
      </c>
      <c r="AH5" s="47" t="s">
        <v>170</v>
      </c>
      <c r="AI5" s="47"/>
      <c r="AJ5" s="47" t="s">
        <v>109</v>
      </c>
      <c r="AK5" s="47" t="s">
        <v>110</v>
      </c>
      <c r="AL5" s="47" t="s">
        <v>111</v>
      </c>
      <c r="AM5" s="47" t="s">
        <v>112</v>
      </c>
      <c r="AN5" s="47" t="s">
        <v>113</v>
      </c>
      <c r="AO5" s="47"/>
    </row>
    <row r="6" spans="1:42" ht="15" customHeight="1" x14ac:dyDescent="0.2">
      <c r="A6" s="83">
        <v>42453.409699074073</v>
      </c>
      <c r="B6" s="61">
        <f>IF(ISBLANK(Import[Package Row]),0,INDEX(Import[EAID],MATCH(Import[Package Row],Import[Row'#],0)))</f>
        <v>0</v>
      </c>
      <c r="C6" s="62">
        <f>IF(ISBLANK(Import[Parent Row]),0,INDEX(Import[EAID],MATCH(Import[Parent Row],Import[Row'#],0)))</f>
        <v>0</v>
      </c>
      <c r="D6" s="62" t="e">
        <f>IF(ISBLANK(Import[Parent Row]),0,INDEX(Import[EA TypeID],MATCH(Import[EA ParentID],Import[EAID],0)))</f>
        <v>#N/A</v>
      </c>
      <c r="E6" s="63"/>
      <c r="F6" s="62"/>
      <c r="G6" s="43">
        <f>IF(Import[EA Object Type Name]&lt;&gt;"",INDEX(LL_EAObjectTypeIDs[TypeID],MATCH(Import[EA Object Type Name],LL_EAObjectTypeIDs[TypeName],0)),"")</f>
        <v>4</v>
      </c>
      <c r="H6" s="61" t="str">
        <f>IF(ISBLANK(Import[GRP]),"",Import[GRP]&amp; IF(ISBLANK(Import[ID]),"","-" &amp; TEXT(Import[ID],"0000")))</f>
        <v>E1-0001</v>
      </c>
      <c r="I6" s="61" t="str">
        <f>IF(Import[GRPID]="","","[" &amp; Import[GRPID]&amp; "] ") &amp; Import[Name (EN)]</f>
        <v>[E1-0001] Element 1.1</v>
      </c>
      <c r="J6" s="48" t="str">
        <f>IF(Import[GRPID]="","","[" &amp; Import[GRPID]&amp; "] ") &amp; Import[Name (FR)]</f>
        <v>[E1-0001] Name (FR) 3</v>
      </c>
      <c r="K6" s="63"/>
      <c r="L6" s="61" t="s">
        <v>73</v>
      </c>
      <c r="M6" s="61"/>
      <c r="N6" s="45"/>
      <c r="O6" s="45">
        <f>IF(NOT(ISBLANK(Import[Excel Modified Date (Set by Script)])),Import[Excel Modified Date (Set by Script)],"")</f>
        <v>42453.409699074073</v>
      </c>
      <c r="P6" s="61"/>
      <c r="Q6" s="76" t="s">
        <v>249</v>
      </c>
      <c r="R6" s="61" t="s">
        <v>43</v>
      </c>
      <c r="S6" s="61"/>
      <c r="T6" s="61"/>
      <c r="U6" s="61">
        <f>ROW()</f>
        <v>6</v>
      </c>
      <c r="V6" s="61">
        <f t="shared" ref="V6:V11" si="0">$U$4</f>
        <v>4</v>
      </c>
      <c r="W6" s="62">
        <f>$U$5</f>
        <v>5</v>
      </c>
      <c r="X6" s="61"/>
      <c r="Y6" s="61" t="s">
        <v>245</v>
      </c>
      <c r="Z6" s="61">
        <v>1</v>
      </c>
      <c r="AA6" s="48" t="s">
        <v>41</v>
      </c>
      <c r="AB6" s="48" t="s">
        <v>116</v>
      </c>
      <c r="AC6" s="48"/>
      <c r="AD6" s="47" t="s">
        <v>92</v>
      </c>
      <c r="AE6" s="47" t="s">
        <v>114</v>
      </c>
      <c r="AF6" s="47" t="s">
        <v>115</v>
      </c>
      <c r="AG6" s="47" t="s">
        <v>164</v>
      </c>
      <c r="AH6" s="47" t="s">
        <v>172</v>
      </c>
      <c r="AI6" s="47"/>
      <c r="AJ6" s="47" t="s">
        <v>117</v>
      </c>
      <c r="AK6" s="47" t="s">
        <v>118</v>
      </c>
      <c r="AL6" s="47" t="s">
        <v>119</v>
      </c>
      <c r="AM6" s="47" t="s">
        <v>120</v>
      </c>
      <c r="AN6" s="47" t="s">
        <v>121</v>
      </c>
      <c r="AO6" s="47"/>
    </row>
    <row r="7" spans="1:42" ht="15" customHeight="1" x14ac:dyDescent="0.2">
      <c r="A7" s="83">
        <v>42453.412615740737</v>
      </c>
      <c r="B7" s="61">
        <f>IF(ISBLANK(Import[Package Row]),0,INDEX(Import[EAID],MATCH(Import[Package Row],Import[Row'#],0)))</f>
        <v>0</v>
      </c>
      <c r="C7" s="62">
        <f>IF(ISBLANK(Import[Parent Row]),0,INDEX(Import[EAID],MATCH(Import[Parent Row],Import[Row'#],0)))</f>
        <v>0</v>
      </c>
      <c r="D7" s="62" t="e">
        <f>IF(ISBLANK(Import[Parent Row]),0,INDEX(Import[EA TypeID],MATCH(Import[EA ParentID],Import[EAID],0)))</f>
        <v>#N/A</v>
      </c>
      <c r="E7" s="63"/>
      <c r="F7" s="62"/>
      <c r="G7" s="43">
        <f>IF(Import[EA Object Type Name]&lt;&gt;"",INDEX(LL_EAObjectTypeIDs[TypeID],MATCH(Import[EA Object Type Name],LL_EAObjectTypeIDs[TypeName],0)),"")</f>
        <v>23</v>
      </c>
      <c r="H7" s="61" t="str">
        <f>IF(ISBLANK(Import[GRP]),"",Import[GRP]&amp; IF(ISBLANK(Import[ID]),"","-" &amp; TEXT(Import[ID],"0000")))</f>
        <v/>
      </c>
      <c r="I7" s="61" t="str">
        <f>IF(Import[GRPID]="","","[" &amp; Import[GRPID]&amp; "] ") &amp; Import[Name (EN)]</f>
        <v>Element 1.1 Attribute 1</v>
      </c>
      <c r="J7" s="48" t="str">
        <f>IF(Import[GRPID]="","","[" &amp; Import[GRPID]&amp; "] ") &amp; Import[Name (FR)]</f>
        <v>Name (FR) 4</v>
      </c>
      <c r="K7" s="63"/>
      <c r="L7" s="61" t="s">
        <v>69</v>
      </c>
      <c r="M7" s="61"/>
      <c r="N7" s="45"/>
      <c r="O7" s="45">
        <f>IF(NOT(ISBLANK(Import[Excel Modified Date (Set by Script)])),Import[Excel Modified Date (Set by Script)],"")</f>
        <v>42453.412615740737</v>
      </c>
      <c r="P7" s="61"/>
      <c r="Q7" s="76" t="s">
        <v>251</v>
      </c>
      <c r="R7" s="61"/>
      <c r="S7" s="61"/>
      <c r="T7" s="61"/>
      <c r="U7" s="61">
        <f>ROW()</f>
        <v>7</v>
      </c>
      <c r="V7" s="61">
        <f t="shared" si="0"/>
        <v>4</v>
      </c>
      <c r="W7" s="62">
        <f>$U$6</f>
        <v>6</v>
      </c>
      <c r="X7" s="61"/>
      <c r="Y7" s="61"/>
      <c r="Z7" s="61"/>
      <c r="AA7" s="48" t="s">
        <v>86</v>
      </c>
      <c r="AB7" s="48" t="s">
        <v>124</v>
      </c>
      <c r="AC7" s="48"/>
      <c r="AD7" s="47" t="s">
        <v>93</v>
      </c>
      <c r="AE7" s="47" t="s">
        <v>122</v>
      </c>
      <c r="AF7" s="47" t="s">
        <v>123</v>
      </c>
      <c r="AG7" s="47" t="s">
        <v>165</v>
      </c>
      <c r="AH7" s="47" t="s">
        <v>173</v>
      </c>
      <c r="AI7" s="47"/>
      <c r="AJ7" s="47" t="s">
        <v>125</v>
      </c>
      <c r="AK7" s="47" t="s">
        <v>126</v>
      </c>
      <c r="AL7" s="47" t="s">
        <v>127</v>
      </c>
      <c r="AM7" s="47" t="s">
        <v>128</v>
      </c>
      <c r="AN7" s="47" t="s">
        <v>129</v>
      </c>
      <c r="AO7" s="47"/>
    </row>
    <row r="8" spans="1:42" ht="15" customHeight="1" x14ac:dyDescent="0.2">
      <c r="A8" s="83">
        <v>42453.412835648145</v>
      </c>
      <c r="B8" s="61">
        <f>IF(ISBLANK(Import[Package Row]),0,INDEX(Import[EAID],MATCH(Import[Package Row],Import[Row'#],0)))</f>
        <v>0</v>
      </c>
      <c r="C8" s="62">
        <f>IF(ISBLANK(Import[Parent Row]),0,INDEX(Import[EAID],MATCH(Import[Parent Row],Import[Row'#],0)))</f>
        <v>0</v>
      </c>
      <c r="D8" s="62" t="e">
        <f>IF(ISBLANK(Import[Parent Row]),0,INDEX(Import[EA TypeID],MATCH(Import[EA ParentID],Import[EAID],0)))</f>
        <v>#N/A</v>
      </c>
      <c r="E8" s="63"/>
      <c r="F8" s="62"/>
      <c r="G8" s="43">
        <f>IF(Import[EA Object Type Name]&lt;&gt;"",INDEX(LL_EAObjectTypeIDs[TypeID],MATCH(Import[EA Object Type Name],LL_EAObjectTypeIDs[TypeName],0)),"")</f>
        <v>23</v>
      </c>
      <c r="H8" s="61" t="str">
        <f>IF(ISBLANK(Import[GRP]),"",Import[GRP]&amp; IF(ISBLANK(Import[ID]),"","-" &amp; TEXT(Import[ID],"0000")))</f>
        <v/>
      </c>
      <c r="I8" s="61" t="str">
        <f>IF(Import[GRPID]="","","[" &amp; Import[GRPID]&amp; "] ") &amp; Import[Name (EN)]</f>
        <v>Element 1.1 Attribute 2</v>
      </c>
      <c r="J8" s="48" t="str">
        <f>IF(Import[GRPID]="","","[" &amp; Import[GRPID]&amp; "] ") &amp; Import[Name (FR)]</f>
        <v>Name (FR) 5</v>
      </c>
      <c r="K8" s="63"/>
      <c r="L8" s="61" t="s">
        <v>70</v>
      </c>
      <c r="M8" s="61"/>
      <c r="N8" s="45"/>
      <c r="O8" s="45">
        <f>IF(NOT(ISBLANK(Import[Excel Modified Date (Set by Script)])),Import[Excel Modified Date (Set by Script)],"")</f>
        <v>42453.412835648145</v>
      </c>
      <c r="P8" s="61"/>
      <c r="Q8" s="76" t="s">
        <v>251</v>
      </c>
      <c r="R8" s="61"/>
      <c r="S8" s="61"/>
      <c r="T8" s="61"/>
      <c r="U8" s="61">
        <f>ROW()</f>
        <v>8</v>
      </c>
      <c r="V8" s="61">
        <f t="shared" si="0"/>
        <v>4</v>
      </c>
      <c r="W8" s="62">
        <f>$U$6</f>
        <v>6</v>
      </c>
      <c r="X8" s="61"/>
      <c r="Y8" s="61"/>
      <c r="Z8" s="61"/>
      <c r="AA8" s="48" t="s">
        <v>88</v>
      </c>
      <c r="AB8" s="48" t="s">
        <v>132</v>
      </c>
      <c r="AC8" s="48"/>
      <c r="AD8" s="47" t="s">
        <v>94</v>
      </c>
      <c r="AE8" s="47" t="s">
        <v>130</v>
      </c>
      <c r="AF8" s="47" t="s">
        <v>131</v>
      </c>
      <c r="AG8" s="47" t="s">
        <v>166</v>
      </c>
      <c r="AH8" s="47" t="s">
        <v>174</v>
      </c>
      <c r="AI8" s="47"/>
      <c r="AJ8" s="47" t="s">
        <v>133</v>
      </c>
      <c r="AK8" s="47" t="s">
        <v>134</v>
      </c>
      <c r="AL8" s="47" t="s">
        <v>135</v>
      </c>
      <c r="AM8" s="47" t="s">
        <v>136</v>
      </c>
      <c r="AN8" s="47" t="s">
        <v>137</v>
      </c>
      <c r="AO8" s="47"/>
    </row>
    <row r="9" spans="1:42" ht="15" customHeight="1" x14ac:dyDescent="0.2">
      <c r="A9" s="83">
        <v>42453.416087962964</v>
      </c>
      <c r="B9" s="61">
        <f>IF(ISBLANK(Import[Package Row]),0,INDEX(Import[EAID],MATCH(Import[Package Row],Import[Row'#],0)))</f>
        <v>0</v>
      </c>
      <c r="C9" s="62">
        <f>IF(ISBLANK(Import[Parent Row]),0,INDEX(Import[EAID],MATCH(Import[Parent Row],Import[Row'#],0)))</f>
        <v>0</v>
      </c>
      <c r="D9" s="62" t="e">
        <f>IF(ISBLANK(Import[Parent Row]),0,INDEX(Import[EA TypeID],MATCH(Import[EA ParentID],Import[EAID],0)))</f>
        <v>#N/A</v>
      </c>
      <c r="E9" s="63"/>
      <c r="F9" s="62"/>
      <c r="G9" s="43">
        <f>IF(Import[EA Object Type Name]&lt;&gt;"",INDEX(LL_EAObjectTypeIDs[TypeID],MATCH(Import[EA Object Type Name],LL_EAObjectTypeIDs[TypeName],0)),"")</f>
        <v>4</v>
      </c>
      <c r="H9" s="61" t="str">
        <f>IF(ISBLANK(Import[GRP]),"",Import[GRP]&amp; IF(ISBLANK(Import[ID]),"","-" &amp; TEXT(Import[ID],"0000")))</f>
        <v>E1-0002</v>
      </c>
      <c r="I9" s="61" t="str">
        <f>IF(Import[GRPID]="","","[" &amp; Import[GRPID]&amp; "] ") &amp; Import[Name (EN)]</f>
        <v>[E1-0002] Element 1.2</v>
      </c>
      <c r="J9" s="48" t="str">
        <f>IF(Import[GRPID]="","","[" &amp; Import[GRPID]&amp; "] ") &amp; Import[Name (FR)]</f>
        <v>[E1-0002] Name (FR) 6</v>
      </c>
      <c r="K9" s="63"/>
      <c r="L9" s="61" t="s">
        <v>71</v>
      </c>
      <c r="M9" s="61"/>
      <c r="N9" s="45"/>
      <c r="O9" s="45">
        <f>IF(NOT(ISBLANK(Import[Excel Modified Date (Set by Script)])),Import[Excel Modified Date (Set by Script)],"")</f>
        <v>42453.416087962964</v>
      </c>
      <c r="P9" s="61"/>
      <c r="Q9" s="76" t="s">
        <v>249</v>
      </c>
      <c r="R9" s="61" t="s">
        <v>43</v>
      </c>
      <c r="S9" s="61"/>
      <c r="T9" s="61"/>
      <c r="U9" s="61">
        <f>ROW()</f>
        <v>9</v>
      </c>
      <c r="V9" s="61">
        <f t="shared" si="0"/>
        <v>4</v>
      </c>
      <c r="W9" s="62">
        <f>$U$5</f>
        <v>5</v>
      </c>
      <c r="X9" s="61"/>
      <c r="Y9" s="61" t="s">
        <v>245</v>
      </c>
      <c r="Z9" s="61">
        <v>2</v>
      </c>
      <c r="AA9" s="48" t="s">
        <v>40</v>
      </c>
      <c r="AB9" s="48" t="s">
        <v>140</v>
      </c>
      <c r="AC9" s="48"/>
      <c r="AD9" s="47" t="s">
        <v>95</v>
      </c>
      <c r="AE9" s="47" t="s">
        <v>138</v>
      </c>
      <c r="AF9" s="47" t="s">
        <v>139</v>
      </c>
      <c r="AG9" s="47" t="s">
        <v>167</v>
      </c>
      <c r="AH9" s="47" t="s">
        <v>175</v>
      </c>
      <c r="AI9" s="47"/>
      <c r="AJ9" s="47" t="s">
        <v>141</v>
      </c>
      <c r="AK9" s="47" t="s">
        <v>142</v>
      </c>
      <c r="AL9" s="47" t="s">
        <v>143</v>
      </c>
      <c r="AM9" s="47" t="s">
        <v>144</v>
      </c>
      <c r="AN9" s="47" t="s">
        <v>145</v>
      </c>
      <c r="AO9" s="47"/>
    </row>
    <row r="10" spans="1:42" ht="15" customHeight="1" x14ac:dyDescent="0.2">
      <c r="A10" s="83">
        <v>42468.655219907407</v>
      </c>
      <c r="B10" s="61">
        <f>IF(ISBLANK(Import[Package Row]),0,INDEX(Import[EAID],MATCH(Import[Package Row],Import[Row'#],0)))</f>
        <v>0</v>
      </c>
      <c r="C10" s="62">
        <f>IF(ISBLANK(Import[Parent Row]),0,INDEX(Import[EAID],MATCH(Import[Parent Row],Import[Row'#],0)))</f>
        <v>0</v>
      </c>
      <c r="D10" s="62" t="e">
        <f>IF(ISBLANK(Import[Parent Row]),0,INDEX(Import[EA TypeID],MATCH(Import[EA ParentID],Import[EAID],0)))</f>
        <v>#N/A</v>
      </c>
      <c r="E10" s="63"/>
      <c r="F10" s="62"/>
      <c r="G10" s="43">
        <f>IF(Import[EA Object Type Name]&lt;&gt;"",INDEX(LL_EAObjectTypeIDs[TypeID],MATCH(Import[EA Object Type Name],LL_EAObjectTypeIDs[TypeName],0)),"")</f>
        <v>23</v>
      </c>
      <c r="H10" s="61" t="str">
        <f>IF(ISBLANK(Import[GRP]),"",Import[GRP]&amp; IF(ISBLANK(Import[ID]),"","-" &amp; TEXT(Import[ID],"0000")))</f>
        <v/>
      </c>
      <c r="I10" s="61" t="str">
        <f>IF(Import[GRPID]="","","[" &amp; Import[GRPID]&amp; "] ") &amp; Import[Name (EN)]</f>
        <v>Element 1.2 Attribute 1</v>
      </c>
      <c r="J10" s="48" t="str">
        <f>IF(Import[GRPID]="","","[" &amp; Import[GRPID]&amp; "] ") &amp; Import[Name (FR)]</f>
        <v>Name (FR) 7</v>
      </c>
      <c r="K10" s="63"/>
      <c r="L10" s="61" t="s">
        <v>75</v>
      </c>
      <c r="M10" s="61"/>
      <c r="N10" s="45"/>
      <c r="O10" s="45">
        <f>IF(NOT(ISBLANK(Import[Excel Modified Date (Set by Script)])),Import[Excel Modified Date (Set by Script)],"")</f>
        <v>42468.655219907407</v>
      </c>
      <c r="P10" s="61"/>
      <c r="Q10" s="76" t="s">
        <v>251</v>
      </c>
      <c r="R10" s="61"/>
      <c r="S10" s="61"/>
      <c r="T10" s="61"/>
      <c r="U10" s="61">
        <f>ROW()</f>
        <v>10</v>
      </c>
      <c r="V10" s="61">
        <f t="shared" si="0"/>
        <v>4</v>
      </c>
      <c r="W10" s="62">
        <f>$U$9</f>
        <v>9</v>
      </c>
      <c r="X10" s="61"/>
      <c r="Y10" s="61"/>
      <c r="Z10" s="61"/>
      <c r="AA10" s="48" t="s">
        <v>87</v>
      </c>
      <c r="AB10" s="48" t="s">
        <v>148</v>
      </c>
      <c r="AC10" s="48"/>
      <c r="AD10" s="47" t="s">
        <v>96</v>
      </c>
      <c r="AE10" s="47" t="s">
        <v>146</v>
      </c>
      <c r="AF10" s="47" t="s">
        <v>147</v>
      </c>
      <c r="AG10" s="47" t="s">
        <v>168</v>
      </c>
      <c r="AH10" s="47" t="s">
        <v>176</v>
      </c>
      <c r="AI10" s="47"/>
      <c r="AJ10" s="47" t="s">
        <v>149</v>
      </c>
      <c r="AK10" s="47" t="s">
        <v>150</v>
      </c>
      <c r="AL10" s="47" t="s">
        <v>151</v>
      </c>
      <c r="AM10" s="47" t="s">
        <v>152</v>
      </c>
      <c r="AN10" s="47" t="s">
        <v>153</v>
      </c>
      <c r="AO10" s="47"/>
    </row>
    <row r="11" spans="1:42" ht="15" customHeight="1" x14ac:dyDescent="0.2">
      <c r="A11" s="45">
        <v>42453.405960648146</v>
      </c>
      <c r="B11" s="61">
        <f>IF(ISBLANK(Import[Package Row]),0,INDEX(Import[EAID],MATCH(Import[Package Row],Import[Row'#],0)))</f>
        <v>0</v>
      </c>
      <c r="C11" s="62">
        <f>IF(ISBLANK(Import[Parent Row]),0,INDEX(Import[EAID],MATCH(Import[Parent Row],Import[Row'#],0)))</f>
        <v>0</v>
      </c>
      <c r="D11" s="62" t="e">
        <f>IF(ISBLANK(Import[Parent Row]),0,INDEX(Import[EA TypeID],MATCH(Import[EA ParentID],Import[EAID],0)))</f>
        <v>#N/A</v>
      </c>
      <c r="E11" s="63"/>
      <c r="F11" s="62"/>
      <c r="G11" s="43">
        <f>IF(Import[EA Object Type Name]&lt;&gt;"",INDEX(LL_EAObjectTypeIDs[TypeID],MATCH(Import[EA Object Type Name],LL_EAObjectTypeIDs[TypeName],0)),"")</f>
        <v>23</v>
      </c>
      <c r="H11" s="61" t="str">
        <f>IF(ISBLANK(Import[GRP]),"",Import[GRP]&amp; IF(ISBLANK(Import[ID]),"","-" &amp; TEXT(Import[ID],"0000")))</f>
        <v/>
      </c>
      <c r="I11" s="61" t="str">
        <f>IF(Import[GRPID]="","","[" &amp; Import[GRPID]&amp; "] ") &amp; Import[Name (EN)]</f>
        <v>Element 1.2 Attribute 2</v>
      </c>
      <c r="J11" s="48" t="str">
        <f>IF(Import[GRPID]="","","[" &amp; Import[GRPID]&amp; "] ") &amp; Import[Name (FR)]</f>
        <v>Name (FR) 8</v>
      </c>
      <c r="K11" s="63"/>
      <c r="L11" s="61" t="s">
        <v>76</v>
      </c>
      <c r="M11" s="61"/>
      <c r="N11" s="45"/>
      <c r="O11" s="45">
        <f>IF(NOT(ISBLANK(Import[Excel Modified Date (Set by Script)])),Import[Excel Modified Date (Set by Script)],"")</f>
        <v>42453.405960648146</v>
      </c>
      <c r="P11" s="61"/>
      <c r="Q11" s="76" t="s">
        <v>251</v>
      </c>
      <c r="R11" s="61"/>
      <c r="S11" s="61"/>
      <c r="T11" s="61"/>
      <c r="U11" s="61">
        <f>ROW()</f>
        <v>11</v>
      </c>
      <c r="V11" s="61">
        <f t="shared" si="0"/>
        <v>4</v>
      </c>
      <c r="W11" s="62">
        <f>$U$9</f>
        <v>9</v>
      </c>
      <c r="X11" s="61"/>
      <c r="Y11" s="61"/>
      <c r="Z11" s="61"/>
      <c r="AA11" s="48" t="s">
        <v>89</v>
      </c>
      <c r="AB11" s="48" t="s">
        <v>156</v>
      </c>
      <c r="AC11" s="48"/>
      <c r="AD11" s="47" t="s">
        <v>97</v>
      </c>
      <c r="AE11" s="47" t="s">
        <v>154</v>
      </c>
      <c r="AF11" s="47" t="s">
        <v>155</v>
      </c>
      <c r="AG11" s="47" t="s">
        <v>169</v>
      </c>
      <c r="AH11" s="47" t="s">
        <v>177</v>
      </c>
      <c r="AI11" s="47"/>
      <c r="AJ11" s="47" t="s">
        <v>157</v>
      </c>
      <c r="AK11" s="47" t="s">
        <v>158</v>
      </c>
      <c r="AL11" s="47" t="s">
        <v>159</v>
      </c>
      <c r="AM11" s="47" t="s">
        <v>160</v>
      </c>
      <c r="AN11" s="47" t="s">
        <v>161</v>
      </c>
      <c r="AO11" s="47"/>
    </row>
  </sheetData>
  <mergeCells count="4">
    <mergeCell ref="L2:N2"/>
    <mergeCell ref="AJ2:AN2"/>
    <mergeCell ref="Q2:S2"/>
    <mergeCell ref="U2:W2"/>
  </mergeCells>
  <conditionalFormatting sqref="X1:X1048576">
    <cfRule type="expression" dxfId="55" priority="30">
      <formula>$X$2&lt;&gt;""</formula>
    </cfRule>
  </conditionalFormatting>
  <conditionalFormatting sqref="AI1:AI1048576">
    <cfRule type="expression" dxfId="54" priority="11">
      <formula>$AI$2&lt;&gt;""</formula>
    </cfRule>
  </conditionalFormatting>
  <conditionalFormatting sqref="AO1:AO1048576">
    <cfRule type="expression" dxfId="53" priority="10">
      <formula>$AO$2&lt;&gt;""</formula>
    </cfRule>
  </conditionalFormatting>
  <conditionalFormatting sqref="AC1:AC1048576">
    <cfRule type="expression" dxfId="52" priority="7">
      <formula>$AC$2&lt;&gt;""</formula>
    </cfRule>
  </conditionalFormatting>
  <conditionalFormatting sqref="P1:P1048576">
    <cfRule type="expression" dxfId="51" priority="4">
      <formula>$X$2&lt;&gt;""</formula>
    </cfRule>
  </conditionalFormatting>
  <conditionalFormatting sqref="K1:K1048576">
    <cfRule type="expression" dxfId="50" priority="49">
      <formula>$K$2&lt;&gt;""</formula>
    </cfRule>
  </conditionalFormatting>
  <conditionalFormatting sqref="K4:K11">
    <cfRule type="expression" dxfId="49" priority="2">
      <formula>$L4="New"</formula>
    </cfRule>
    <cfRule type="expression" dxfId="48" priority="3">
      <formula>$L4="Defective"</formula>
    </cfRule>
  </conditionalFormatting>
  <conditionalFormatting sqref="A4:AO11">
    <cfRule type="expression" dxfId="47" priority="1">
      <formula>$L4="Rejected"</formula>
    </cfRule>
    <cfRule type="expression" dxfId="46" priority="50">
      <formula>$G4=5</formula>
    </cfRule>
    <cfRule type="expression" dxfId="45" priority="51">
      <formula>OR($G4=4,$G4=8,$G4=52)</formula>
    </cfRule>
  </conditionalFormatting>
  <dataValidations count="4">
    <dataValidation type="list" allowBlank="1" showErrorMessage="1" sqref="L4:L11">
      <formula1>LL_Status</formula1>
    </dataValidation>
    <dataValidation type="list" allowBlank="1" showInputMessage="1" showErrorMessage="1" sqref="G4:G11">
      <formula1>LL_EAObject_TypeIDs</formula1>
    </dataValidation>
    <dataValidation type="list" allowBlank="1" showInputMessage="1" showErrorMessage="1" sqref="R4:R11">
      <formula1>LL_Element_Types</formula1>
    </dataValidation>
    <dataValidation type="list" allowBlank="1" showInputMessage="1" showErrorMessage="1" sqref="Q4:Q11">
      <formula1>LL_EAObject_TypeNames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B6"/>
  <sheetViews>
    <sheetView tabSelected="1" workbookViewId="0">
      <selection activeCell="B3" sqref="B3"/>
    </sheetView>
  </sheetViews>
  <sheetFormatPr defaultRowHeight="15" x14ac:dyDescent="0.2"/>
  <cols>
    <col min="1" max="1" width="26.33203125" customWidth="1"/>
    <col min="2" max="2" width="40.21875" customWidth="1"/>
  </cols>
  <sheetData>
    <row r="1" spans="1:2" ht="15.75" x14ac:dyDescent="0.25">
      <c r="A1" s="1" t="s">
        <v>1</v>
      </c>
      <c r="B1" t="s">
        <v>298</v>
      </c>
    </row>
    <row r="2" spans="1:2" ht="15.75" x14ac:dyDescent="0.25">
      <c r="A2" s="12" t="s">
        <v>28</v>
      </c>
      <c r="B2" s="9" t="s">
        <v>230</v>
      </c>
    </row>
    <row r="3" spans="1:2" ht="15.75" x14ac:dyDescent="0.25">
      <c r="A3" s="12" t="s">
        <v>27</v>
      </c>
      <c r="B3" s="9" t="s">
        <v>230</v>
      </c>
    </row>
    <row r="4" spans="1:2" ht="15.75" x14ac:dyDescent="0.25">
      <c r="A4" s="2"/>
      <c r="B4" s="5"/>
    </row>
    <row r="5" spans="1:2" ht="15.75" x14ac:dyDescent="0.25">
      <c r="A5" s="2"/>
      <c r="B5" s="5"/>
    </row>
    <row r="6" spans="1:2" ht="15.75" x14ac:dyDescent="0.25">
      <c r="A6" s="5"/>
      <c r="B6" s="5"/>
    </row>
  </sheetData>
  <conditionalFormatting sqref="B1">
    <cfRule type="expression" dxfId="1" priority="1">
      <formula>$B$1=""</formula>
    </cfRule>
    <cfRule type="expression" dxfId="0" priority="2">
      <formula>$B$1=""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ltText="Import to Sparx EA" r:id="rId5">
            <anchor moveWithCells="1" sizeWithCells="1">
              <from>
                <xdr:col>0</xdr:col>
                <xdr:colOff>314325</xdr:colOff>
                <xdr:row>3</xdr:row>
                <xdr:rowOff>57150</xdr:rowOff>
              </from>
              <to>
                <xdr:col>1</xdr:col>
                <xdr:colOff>3257550</xdr:colOff>
                <xdr:row>5</xdr:row>
                <xdr:rowOff>180975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opLeftCell="A2" workbookViewId="0">
      <selection activeCell="D2" sqref="D2"/>
    </sheetView>
  </sheetViews>
  <sheetFormatPr defaultRowHeight="15" x14ac:dyDescent="0.2"/>
  <cols>
    <col min="1" max="1" width="17.5546875" bestFit="1" customWidth="1"/>
    <col min="2" max="2" width="10.109375" customWidth="1"/>
    <col min="3" max="3" width="12.109375" customWidth="1"/>
    <col min="4" max="4" width="26.44140625" bestFit="1" customWidth="1"/>
    <col min="5" max="5" width="12.88671875" bestFit="1" customWidth="1"/>
    <col min="6" max="6" width="22.21875" customWidth="1"/>
    <col min="7" max="7" width="22.21875" style="55" customWidth="1"/>
    <col min="8" max="8" width="14.5546875" customWidth="1"/>
    <col min="9" max="9" width="27" style="55" bestFit="1" customWidth="1"/>
    <col min="10" max="10" width="15.6640625" customWidth="1"/>
  </cols>
  <sheetData>
    <row r="1" spans="1:10" s="25" customFormat="1" ht="15.75" x14ac:dyDescent="0.25">
      <c r="A1" s="25" t="s">
        <v>78</v>
      </c>
      <c r="C1" s="26" t="s">
        <v>2</v>
      </c>
      <c r="D1" s="26" t="s">
        <v>178</v>
      </c>
      <c r="G1" s="55"/>
      <c r="I1" s="55"/>
    </row>
    <row r="2" spans="1:10" x14ac:dyDescent="0.2">
      <c r="A2" s="25" t="s">
        <v>85</v>
      </c>
      <c r="B2" s="25" t="s">
        <v>84</v>
      </c>
    </row>
    <row r="3" spans="1:10" x14ac:dyDescent="0.2">
      <c r="A3" s="55"/>
      <c r="B3" s="55"/>
      <c r="C3" s="25" t="s">
        <v>238</v>
      </c>
      <c r="D3" s="9" t="s">
        <v>179</v>
      </c>
    </row>
    <row r="4" spans="1:10" x14ac:dyDescent="0.2">
      <c r="A4" t="s">
        <v>251</v>
      </c>
      <c r="B4">
        <v>23</v>
      </c>
      <c r="C4" s="25" t="s">
        <v>69</v>
      </c>
      <c r="D4" s="9" t="s">
        <v>180</v>
      </c>
      <c r="F4" s="55"/>
      <c r="H4" s="55"/>
      <c r="J4" s="55"/>
    </row>
    <row r="5" spans="1:10" x14ac:dyDescent="0.2">
      <c r="A5" s="25" t="s">
        <v>252</v>
      </c>
      <c r="B5" s="25">
        <v>33</v>
      </c>
      <c r="C5" s="25" t="s">
        <v>70</v>
      </c>
      <c r="D5" s="9" t="s">
        <v>181</v>
      </c>
      <c r="F5" s="55"/>
      <c r="H5" s="55"/>
      <c r="J5" s="55"/>
    </row>
    <row r="6" spans="1:10" x14ac:dyDescent="0.2">
      <c r="A6" s="25" t="s">
        <v>253</v>
      </c>
      <c r="B6" s="25">
        <v>34</v>
      </c>
      <c r="C6" s="25" t="s">
        <v>71</v>
      </c>
      <c r="D6" s="9" t="s">
        <v>182</v>
      </c>
      <c r="F6" s="55"/>
      <c r="H6" s="55"/>
      <c r="J6" s="55"/>
    </row>
    <row r="7" spans="1:10" x14ac:dyDescent="0.2">
      <c r="A7" s="25" t="s">
        <v>254</v>
      </c>
      <c r="B7" s="25">
        <v>27</v>
      </c>
      <c r="C7" s="25" t="s">
        <v>72</v>
      </c>
      <c r="D7" s="9" t="s">
        <v>183</v>
      </c>
      <c r="F7" s="55"/>
      <c r="H7" s="55"/>
      <c r="J7" s="55"/>
    </row>
    <row r="8" spans="1:10" x14ac:dyDescent="0.2">
      <c r="A8" s="25" t="s">
        <v>255</v>
      </c>
      <c r="B8" s="25">
        <v>26</v>
      </c>
      <c r="C8" s="25" t="s">
        <v>73</v>
      </c>
      <c r="D8" s="9" t="s">
        <v>184</v>
      </c>
      <c r="F8" s="55"/>
      <c r="H8" s="55"/>
      <c r="J8" s="55"/>
    </row>
    <row r="9" spans="1:10" x14ac:dyDescent="0.2">
      <c r="A9" s="25" t="s">
        <v>256</v>
      </c>
      <c r="B9" s="25">
        <v>3</v>
      </c>
      <c r="C9" s="25" t="s">
        <v>74</v>
      </c>
      <c r="D9" s="9" t="s">
        <v>185</v>
      </c>
      <c r="F9" s="55"/>
      <c r="H9" s="55"/>
      <c r="J9" s="55"/>
    </row>
    <row r="10" spans="1:10" x14ac:dyDescent="0.2">
      <c r="A10" s="25" t="s">
        <v>257</v>
      </c>
      <c r="B10" s="25">
        <v>7</v>
      </c>
      <c r="C10" s="25" t="s">
        <v>75</v>
      </c>
      <c r="D10" s="9" t="s">
        <v>186</v>
      </c>
    </row>
    <row r="11" spans="1:10" x14ac:dyDescent="0.2">
      <c r="A11" s="25" t="s">
        <v>258</v>
      </c>
      <c r="B11" s="25">
        <v>37</v>
      </c>
      <c r="C11" s="25" t="s">
        <v>76</v>
      </c>
      <c r="D11" s="9" t="s">
        <v>187</v>
      </c>
    </row>
    <row r="12" spans="1:10" x14ac:dyDescent="0.2">
      <c r="A12" s="25" t="s">
        <v>259</v>
      </c>
      <c r="B12" s="25">
        <v>22</v>
      </c>
      <c r="C12" s="25" t="s">
        <v>77</v>
      </c>
      <c r="D12" s="9" t="s">
        <v>43</v>
      </c>
    </row>
    <row r="13" spans="1:10" x14ac:dyDescent="0.2">
      <c r="A13" s="25" t="s">
        <v>260</v>
      </c>
      <c r="B13" s="25">
        <v>38</v>
      </c>
      <c r="D13" s="9" t="s">
        <v>188</v>
      </c>
    </row>
    <row r="14" spans="1:10" x14ac:dyDescent="0.2">
      <c r="A14" s="25" t="s">
        <v>190</v>
      </c>
      <c r="B14" s="25">
        <v>11</v>
      </c>
      <c r="D14" s="9" t="s">
        <v>189</v>
      </c>
    </row>
    <row r="15" spans="1:10" x14ac:dyDescent="0.2">
      <c r="A15" s="25" t="s">
        <v>261</v>
      </c>
      <c r="B15" s="25">
        <v>42</v>
      </c>
      <c r="D15" s="9" t="s">
        <v>190</v>
      </c>
    </row>
    <row r="16" spans="1:10" x14ac:dyDescent="0.2">
      <c r="A16" s="25" t="s">
        <v>262</v>
      </c>
      <c r="B16" s="25">
        <v>28</v>
      </c>
      <c r="D16" s="9" t="s">
        <v>191</v>
      </c>
    </row>
    <row r="17" spans="1:4" x14ac:dyDescent="0.2">
      <c r="A17" s="25" t="s">
        <v>248</v>
      </c>
      <c r="B17" s="25">
        <v>8</v>
      </c>
      <c r="D17" s="9" t="s">
        <v>192</v>
      </c>
    </row>
    <row r="18" spans="1:4" x14ac:dyDescent="0.2">
      <c r="A18" s="25" t="s">
        <v>263</v>
      </c>
      <c r="B18" s="25">
        <v>20</v>
      </c>
      <c r="D18" s="9" t="s">
        <v>193</v>
      </c>
    </row>
    <row r="19" spans="1:4" x14ac:dyDescent="0.2">
      <c r="A19" s="25" t="s">
        <v>264</v>
      </c>
      <c r="B19" s="25">
        <v>19</v>
      </c>
      <c r="D19" s="9" t="s">
        <v>194</v>
      </c>
    </row>
    <row r="20" spans="1:4" x14ac:dyDescent="0.2">
      <c r="A20" s="25" t="s">
        <v>36</v>
      </c>
      <c r="B20" s="25">
        <v>58</v>
      </c>
      <c r="D20" s="9" t="s">
        <v>195</v>
      </c>
    </row>
    <row r="21" spans="1:4" x14ac:dyDescent="0.2">
      <c r="A21" s="25" t="s">
        <v>265</v>
      </c>
      <c r="B21" s="25">
        <v>14</v>
      </c>
      <c r="D21" s="9" t="s">
        <v>196</v>
      </c>
    </row>
    <row r="22" spans="1:4" x14ac:dyDescent="0.2">
      <c r="A22" s="25" t="s">
        <v>249</v>
      </c>
      <c r="B22" s="25">
        <v>4</v>
      </c>
      <c r="D22" s="9" t="s">
        <v>197</v>
      </c>
    </row>
    <row r="23" spans="1:4" x14ac:dyDescent="0.2">
      <c r="A23" s="25" t="s">
        <v>266</v>
      </c>
      <c r="B23" s="25">
        <v>46</v>
      </c>
      <c r="D23" s="9" t="s">
        <v>198</v>
      </c>
    </row>
    <row r="24" spans="1:4" x14ac:dyDescent="0.2">
      <c r="A24" s="25" t="s">
        <v>267</v>
      </c>
      <c r="B24" s="25">
        <v>45</v>
      </c>
      <c r="D24" s="9" t="s">
        <v>199</v>
      </c>
    </row>
    <row r="25" spans="1:4" x14ac:dyDescent="0.2">
      <c r="A25" s="25" t="s">
        <v>268</v>
      </c>
      <c r="B25" s="25">
        <v>13</v>
      </c>
      <c r="D25" s="9" t="s">
        <v>200</v>
      </c>
    </row>
    <row r="26" spans="1:4" x14ac:dyDescent="0.2">
      <c r="A26" s="25" t="s">
        <v>207</v>
      </c>
      <c r="B26" s="25">
        <v>16</v>
      </c>
      <c r="D26" s="9" t="s">
        <v>201</v>
      </c>
    </row>
    <row r="27" spans="1:4" x14ac:dyDescent="0.2">
      <c r="A27" s="25" t="s">
        <v>37</v>
      </c>
      <c r="B27" s="25">
        <v>59</v>
      </c>
      <c r="D27" s="9" t="s">
        <v>202</v>
      </c>
    </row>
    <row r="28" spans="1:4" x14ac:dyDescent="0.2">
      <c r="A28" s="25" t="s">
        <v>269</v>
      </c>
      <c r="B28" s="25">
        <v>24</v>
      </c>
      <c r="D28" s="9" t="s">
        <v>203</v>
      </c>
    </row>
    <row r="29" spans="1:4" x14ac:dyDescent="0.2">
      <c r="A29" s="25" t="s">
        <v>270</v>
      </c>
      <c r="B29" s="25">
        <v>35</v>
      </c>
      <c r="D29" s="9" t="s">
        <v>204</v>
      </c>
    </row>
    <row r="30" spans="1:4" x14ac:dyDescent="0.2">
      <c r="A30" s="25" t="s">
        <v>271</v>
      </c>
      <c r="B30" s="25">
        <v>36</v>
      </c>
      <c r="D30" s="9" t="s">
        <v>205</v>
      </c>
    </row>
    <row r="31" spans="1:4" x14ac:dyDescent="0.2">
      <c r="A31" s="25" t="s">
        <v>272</v>
      </c>
      <c r="B31" s="25">
        <v>15</v>
      </c>
      <c r="D31" s="9" t="s">
        <v>206</v>
      </c>
    </row>
    <row r="32" spans="1:4" x14ac:dyDescent="0.2">
      <c r="A32" s="25" t="s">
        <v>273</v>
      </c>
      <c r="B32" s="25">
        <v>6</v>
      </c>
      <c r="D32" s="9" t="s">
        <v>207</v>
      </c>
    </row>
    <row r="33" spans="1:4" x14ac:dyDescent="0.2">
      <c r="A33" s="25" t="s">
        <v>274</v>
      </c>
      <c r="B33" s="25">
        <v>53</v>
      </c>
      <c r="D33" s="9" t="s">
        <v>208</v>
      </c>
    </row>
    <row r="34" spans="1:4" x14ac:dyDescent="0.2">
      <c r="A34" s="25" t="s">
        <v>211</v>
      </c>
      <c r="B34" s="25">
        <v>5</v>
      </c>
      <c r="D34" s="9" t="s">
        <v>209</v>
      </c>
    </row>
    <row r="35" spans="1:4" x14ac:dyDescent="0.2">
      <c r="A35" s="25" t="s">
        <v>212</v>
      </c>
      <c r="B35" s="25">
        <v>25</v>
      </c>
      <c r="D35" s="9" t="s">
        <v>210</v>
      </c>
    </row>
    <row r="36" spans="1:4" x14ac:dyDescent="0.2">
      <c r="A36" s="25" t="s">
        <v>34</v>
      </c>
      <c r="B36" s="25">
        <v>56</v>
      </c>
      <c r="D36" s="9" t="s">
        <v>211</v>
      </c>
    </row>
    <row r="37" spans="1:4" x14ac:dyDescent="0.2">
      <c r="A37" s="25" t="s">
        <v>275</v>
      </c>
      <c r="B37" s="25">
        <v>43</v>
      </c>
      <c r="D37" s="9" t="s">
        <v>212</v>
      </c>
    </row>
    <row r="38" spans="1:4" x14ac:dyDescent="0.2">
      <c r="A38" s="25" t="s">
        <v>276</v>
      </c>
      <c r="B38" s="25">
        <v>1</v>
      </c>
      <c r="D38" s="9" t="s">
        <v>213</v>
      </c>
    </row>
    <row r="39" spans="1:4" x14ac:dyDescent="0.2">
      <c r="A39" s="25" t="s">
        <v>277</v>
      </c>
      <c r="B39" s="25">
        <v>32</v>
      </c>
      <c r="D39" s="9" t="s">
        <v>214</v>
      </c>
    </row>
    <row r="40" spans="1:4" x14ac:dyDescent="0.2">
      <c r="A40" s="25" t="s">
        <v>278</v>
      </c>
      <c r="B40" s="25">
        <v>39</v>
      </c>
      <c r="D40" s="9" t="s">
        <v>215</v>
      </c>
    </row>
    <row r="41" spans="1:4" x14ac:dyDescent="0.2">
      <c r="A41" s="25" t="s">
        <v>35</v>
      </c>
      <c r="B41" s="25">
        <v>57</v>
      </c>
      <c r="D41" s="9" t="s">
        <v>216</v>
      </c>
    </row>
    <row r="42" spans="1:4" x14ac:dyDescent="0.2">
      <c r="A42" s="25" t="s">
        <v>279</v>
      </c>
      <c r="B42" s="25">
        <v>48</v>
      </c>
      <c r="D42" s="9" t="s">
        <v>217</v>
      </c>
    </row>
    <row r="43" spans="1:4" x14ac:dyDescent="0.2">
      <c r="A43" s="25" t="s">
        <v>280</v>
      </c>
      <c r="B43" s="25">
        <v>49</v>
      </c>
      <c r="D43" s="9" t="s">
        <v>44</v>
      </c>
    </row>
    <row r="44" spans="1:4" x14ac:dyDescent="0.2">
      <c r="A44" s="25" t="s">
        <v>281</v>
      </c>
      <c r="B44" s="25">
        <v>47</v>
      </c>
      <c r="D44" s="9" t="s">
        <v>218</v>
      </c>
    </row>
    <row r="45" spans="1:4" x14ac:dyDescent="0.2">
      <c r="A45" s="25" t="s">
        <v>247</v>
      </c>
      <c r="B45" s="25">
        <v>40</v>
      </c>
      <c r="D45" s="9" t="s">
        <v>219</v>
      </c>
    </row>
    <row r="46" spans="1:4" x14ac:dyDescent="0.2">
      <c r="A46" s="25" t="s">
        <v>282</v>
      </c>
      <c r="B46" s="25">
        <v>2</v>
      </c>
      <c r="D46" s="9" t="s">
        <v>220</v>
      </c>
    </row>
    <row r="47" spans="1:4" x14ac:dyDescent="0.2">
      <c r="A47" s="25" t="s">
        <v>44</v>
      </c>
      <c r="B47" s="25">
        <v>9</v>
      </c>
      <c r="D47" s="9" t="s">
        <v>221</v>
      </c>
    </row>
    <row r="48" spans="1:4" x14ac:dyDescent="0.2">
      <c r="A48" s="25" t="s">
        <v>283</v>
      </c>
      <c r="B48" s="25">
        <v>21</v>
      </c>
      <c r="D48" s="9" t="s">
        <v>222</v>
      </c>
    </row>
    <row r="49" spans="1:4" x14ac:dyDescent="0.2">
      <c r="A49" s="25" t="s">
        <v>284</v>
      </c>
      <c r="B49" s="25">
        <v>17</v>
      </c>
      <c r="D49" s="9" t="s">
        <v>223</v>
      </c>
    </row>
    <row r="50" spans="1:4" x14ac:dyDescent="0.2">
      <c r="A50" s="25" t="s">
        <v>33</v>
      </c>
      <c r="B50" s="25">
        <v>41</v>
      </c>
      <c r="D50" s="9" t="s">
        <v>224</v>
      </c>
    </row>
    <row r="51" spans="1:4" x14ac:dyDescent="0.2">
      <c r="A51" s="25" t="s">
        <v>285</v>
      </c>
      <c r="B51" s="25">
        <v>10</v>
      </c>
      <c r="D51" s="9" t="s">
        <v>225</v>
      </c>
    </row>
    <row r="52" spans="1:4" x14ac:dyDescent="0.2">
      <c r="A52" s="25" t="s">
        <v>286</v>
      </c>
      <c r="B52" s="25">
        <v>55</v>
      </c>
      <c r="D52" s="9" t="s">
        <v>226</v>
      </c>
    </row>
    <row r="53" spans="1:4" x14ac:dyDescent="0.2">
      <c r="A53" s="25" t="s">
        <v>287</v>
      </c>
      <c r="B53" s="25">
        <v>54</v>
      </c>
    </row>
    <row r="54" spans="1:4" x14ac:dyDescent="0.2">
      <c r="A54" s="25" t="s">
        <v>288</v>
      </c>
      <c r="B54" s="25">
        <v>29</v>
      </c>
    </row>
    <row r="55" spans="1:4" x14ac:dyDescent="0.2">
      <c r="A55" s="25" t="s">
        <v>289</v>
      </c>
      <c r="B55" s="25">
        <v>52</v>
      </c>
    </row>
    <row r="56" spans="1:4" x14ac:dyDescent="0.2">
      <c r="A56" s="25" t="s">
        <v>290</v>
      </c>
      <c r="B56" s="25">
        <v>50</v>
      </c>
    </row>
    <row r="57" spans="1:4" x14ac:dyDescent="0.2">
      <c r="A57" s="25" t="s">
        <v>291</v>
      </c>
      <c r="B57" s="25">
        <v>51</v>
      </c>
    </row>
    <row r="58" spans="1:4" x14ac:dyDescent="0.2">
      <c r="A58" s="25" t="s">
        <v>292</v>
      </c>
      <c r="B58" s="25">
        <v>12</v>
      </c>
    </row>
    <row r="59" spans="1:4" x14ac:dyDescent="0.2">
      <c r="A59" s="25" t="s">
        <v>293</v>
      </c>
      <c r="B59" s="25">
        <v>30</v>
      </c>
    </row>
    <row r="60" spans="1:4" x14ac:dyDescent="0.2">
      <c r="A60" s="25" t="s">
        <v>294</v>
      </c>
      <c r="B60" s="25">
        <v>31</v>
      </c>
    </row>
    <row r="61" spans="1:4" x14ac:dyDescent="0.2">
      <c r="A61" s="25" t="s">
        <v>295</v>
      </c>
      <c r="B61" s="25">
        <v>18</v>
      </c>
    </row>
    <row r="62" spans="1:4" x14ac:dyDescent="0.2">
      <c r="A62" s="25" t="s">
        <v>296</v>
      </c>
      <c r="B62" s="25">
        <v>44</v>
      </c>
    </row>
    <row r="63" spans="1:4" x14ac:dyDescent="0.2">
      <c r="A63" s="25"/>
      <c r="B63" s="25"/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Specialist Products" ma:contentTypeID="0x010100E623EACA2C30D4408F7C942840CD01FD0008EB9B7C3278C94A8267B172B96CA149" ma:contentTypeVersion="15" ma:contentTypeDescription="" ma:contentTypeScope="" ma:versionID="a564cabdc7af36261820155584cfdcd4">
  <xsd:schema xmlns:xsd="http://www.w3.org/2001/XMLSchema" xmlns:p="http://schemas.microsoft.com/office/2006/metadata/properties" xmlns:ns2="835fdb9f-f88e-43a5-94c0-38ddbb1f6cd4" xmlns:ns3="29b4bc27-838b-4f7d-8750-3b9c627f1206" xmlns:ns4="http://schemas.microsoft.com/sharepoint/v3/fields" xmlns:ns5="2d9754bd-43a6-478d-bf04-b57147ddb280" xmlns:ns6="9b9e153e-6401-409c-bd0a-41b5f8ab74e4" targetNamespace="http://schemas.microsoft.com/office/2006/metadata/properties" ma:root="true" ma:fieldsID="d2231f488df5952250509e4f41fe6523" ns2:_="" ns3:_="" ns4:_="" ns5:_="" ns6:_="">
    <xsd:import namespace="835fdb9f-f88e-43a5-94c0-38ddbb1f6cd4"/>
    <xsd:import namespace="29b4bc27-838b-4f7d-8750-3b9c627f1206"/>
    <xsd:import namespace="http://schemas.microsoft.com/sharepoint/v3/fields"/>
    <xsd:import namespace="2d9754bd-43a6-478d-bf04-b57147ddb280"/>
    <xsd:import namespace="9b9e153e-6401-409c-bd0a-41b5f8ab74e4"/>
    <xsd:element name="properties">
      <xsd:complexType>
        <xsd:sequence>
          <xsd:element name="documentManagement">
            <xsd:complexType>
              <xsd:all>
                <xsd:element ref="ns2:Author0" minOccurs="0"/>
                <xsd:element ref="ns2:Classification" minOccurs="0"/>
                <xsd:element ref="ns2:Comments" minOccurs="0"/>
                <xsd:element ref="ns3:Date_x0020_of_x0020_Issue" minOccurs="0"/>
                <xsd:element ref="ns4:_Status" minOccurs="0"/>
                <xsd:element ref="ns2:Product_x0020_Reference_x0020_ID" minOccurs="0"/>
                <xsd:element ref="ns4:_Source" minOccurs="0"/>
                <xsd:element ref="ns5:Distribution"/>
                <xsd:element ref="ns6:Product_x0020_Checklist" minOccurs="0"/>
                <xsd:element ref="ns6:Product_x0020_Description" minOccurs="0"/>
                <xsd:element ref="ns6:Related_x0020_Product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835fdb9f-f88e-43a5-94c0-38ddbb1f6cd4" elementFormDefault="qualified">
    <xsd:import namespace="http://schemas.microsoft.com/office/2006/documentManagement/types"/>
    <xsd:element name="Author0" ma:index="8" nillable="true" ma:displayName="Author" ma:internalName="Author0">
      <xsd:simpleType>
        <xsd:restriction base="dms:Text">
          <xsd:maxLength value="255"/>
        </xsd:restriction>
      </xsd:simpleType>
    </xsd:element>
    <xsd:element name="Classification" ma:index="9" nillable="true" ma:displayName="Classification" ma:default="UNPROTECTED" ma:description="Protection status of document.&#10;NOTE: Documents classified as &quot;PROTECTE B&quot; MUST be encrypted in compliance with Government approved encryption policies." ma:format="Dropdown" ma:internalName="Classification">
      <xsd:simpleType>
        <xsd:restriction base="dms:Choice">
          <xsd:enumeration value="UNPROTECTED"/>
          <xsd:enumeration value="PROTECTED 'A'"/>
          <xsd:enumeration value="PROTECTED 'B'"/>
        </xsd:restriction>
      </xsd:simpleType>
    </xsd:element>
    <xsd:element name="Comments" ma:index="10" nillable="true" ma:displayName="Comments" ma:internalName="Comments">
      <xsd:simpleType>
        <xsd:restriction base="dms:Note"/>
      </xsd:simpleType>
    </xsd:element>
    <xsd:element name="Product_x0020_Reference_x0020_ID" ma:index="13" nillable="true" ma:displayName="Product ID" ma:description="If available, the unique identifier by which the product may be identified." ma:internalName="Product_x0020_Reference_x0020_ID">
      <xsd:simpleType>
        <xsd:restriction base="dms:Text">
          <xsd:maxLength value="20"/>
        </xsd:restriction>
      </xsd:simpleType>
    </xsd:element>
  </xsd:schema>
  <xsd:schema xmlns:xsd="http://www.w3.org/2001/XMLSchema" xmlns:dms="http://schemas.microsoft.com/office/2006/documentManagement/types" targetNamespace="29b4bc27-838b-4f7d-8750-3b9c627f1206" elementFormDefault="qualified">
    <xsd:import namespace="http://schemas.microsoft.com/office/2006/documentManagement/types"/>
    <xsd:element name="Date_x0020_of_x0020_Issue" ma:index="11" nillable="true" ma:displayName="Date of Issue" ma:format="DateOnly" ma:internalName="Date_x0020_of_x0020_Issue">
      <xsd:simpleType>
        <xsd:restriction base="dms:DateTime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2" nillable="true" ma:displayName="Document Status" ma:default="Draft" ma:format="Dropdown" ma:internalName="_Status">
      <xsd:simpleType>
        <xsd:union memberTypes="dms:Text">
          <xsd:simpleType>
            <xsd:restriction base="dms:Choice">
              <xsd:enumeration value="Draft"/>
              <xsd:enumeration value="Reviewed"/>
              <xsd:enumeration value="Final"/>
              <xsd:enumeration value="Published"/>
              <xsd:enumeration value="Expired"/>
            </xsd:restriction>
          </xsd:simpleType>
        </xsd:union>
      </xsd:simpleType>
    </xsd:element>
    <xsd:element name="_Source" ma:index="14" nillable="true" ma:displayName="Source" ma:description="References to resources from which this resource was derived" ma:internalName="_Source">
      <xsd:simpleType>
        <xsd:restriction base="dms:Note"/>
      </xsd:simpleType>
    </xsd:element>
  </xsd:schema>
  <xsd:schema xmlns:xsd="http://www.w3.org/2001/XMLSchema" xmlns:dms="http://schemas.microsoft.com/office/2006/documentManagement/types" targetNamespace="2d9754bd-43a6-478d-bf04-b57147ddb280" elementFormDefault="qualified">
    <xsd:import namespace="http://schemas.microsoft.com/office/2006/documentManagement/types"/>
    <xsd:element name="Distribution" ma:index="16" ma:displayName="Distribution" ma:default="No restriction" ma:description="The distribution status of the document." ma:format="Dropdown" ma:internalName="Distribution">
      <xsd:simpleType>
        <xsd:restriction base="dms:Choice">
          <xsd:enumeration value="No restriction"/>
          <xsd:enumeration value="Project Board only"/>
          <xsd:enumeration value="Project team only"/>
          <xsd:enumeration value="CSB only"/>
          <xsd:enumeration value="Department (EC) only"/>
          <xsd:enumeration value="Not for distribution"/>
        </xsd:restriction>
      </xsd:simpleType>
    </xsd:element>
  </xsd:schema>
  <xsd:schema xmlns:xsd="http://www.w3.org/2001/XMLSchema" xmlns:dms="http://schemas.microsoft.com/office/2006/documentManagement/types" targetNamespace="9b9e153e-6401-409c-bd0a-41b5f8ab74e4" elementFormDefault="qualified">
    <xsd:import namespace="http://schemas.microsoft.com/office/2006/documentManagement/types"/>
    <xsd:element name="Product_x0020_Checklist" ma:index="17" nillable="true" ma:displayName="Link to: Product Checklist" ma:description="Link to the product in the Product Checklist" ma:list="{704eb662-9bfd-4a07-a7ee-80165448d20c}" ma:internalName="Product_x0020_Checklist" ma:showField="Lookup_x0020_Nam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roduct_x0020_Description" ma:index="18" nillable="true" ma:displayName="Link to: Product Description" ma:description="Link to the product's description." ma:list="{335c7c7a-d362-4256-8b5e-b16b6df47f95}" ma:internalName="Product_x0020_Description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Products" ma:index="19" nillable="true" ma:displayName="Related Products" ma:description="Other products in the Product Library, related to the current product." ma:list="{feb7a418-a661-4364-b8c1-dc88b01ce0e6}" ma:internalName="Related_x0020_Product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 ma:index="15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Date_x0020_of_x0020_Issue xmlns="29b4bc27-838b-4f7d-8750-3b9c627f1206" xsi:nil="true"/>
    <_Source xmlns="http://schemas.microsoft.com/sharepoint/v3/fields" xsi:nil="true"/>
    <Distribution xmlns="2d9754bd-43a6-478d-bf04-b57147ddb280">No restriction</Distribution>
    <Product_x0020_Checklist xmlns="9b9e153e-6401-409c-bd0a-41b5f8ab74e4"/>
    <_Status xmlns="http://schemas.microsoft.com/sharepoint/v3/fields">Draft</_Status>
    <Classification xmlns="835fdb9f-f88e-43a5-94c0-38ddbb1f6cd4">UNPROTECTED</Classification>
    <Product_x0020_Description xmlns="9b9e153e-6401-409c-bd0a-41b5f8ab74e4"/>
    <Related_x0020_Products xmlns="9b9e153e-6401-409c-bd0a-41b5f8ab74e4">
      <Value>33</Value>
      <Value>58</Value>
    </Related_x0020_Products>
    <Comments xmlns="835fdb9f-f88e-43a5-94c0-38ddbb1f6cd4">Defective means I'm still working on it. 
Verified = should be correct, but still waiting final review and sign off. 
Proposed = I think I'm done with it, but need to review </Comments>
    <Author0 xmlns="835fdb9f-f88e-43a5-94c0-38ddbb1f6cd4">Steve Savage</Author0>
    <Product_x0020_Reference_x0020_ID xmlns="835fdb9f-f88e-43a5-94c0-38ddbb1f6cd4" xsi:nil="true"/>
  </documentManagement>
</p:properties>
</file>

<file path=customXml/itemProps1.xml><?xml version="1.0" encoding="utf-8"?>
<ds:datastoreItem xmlns:ds="http://schemas.openxmlformats.org/officeDocument/2006/customXml" ds:itemID="{6BE832ED-AD25-4B90-8375-A0F632683E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9BB538-1CEB-46E9-83FF-37B7CE49C0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5fdb9f-f88e-43a5-94c0-38ddbb1f6cd4"/>
    <ds:schemaRef ds:uri="29b4bc27-838b-4f7d-8750-3b9c627f1206"/>
    <ds:schemaRef ds:uri="http://schemas.microsoft.com/sharepoint/v3/fields"/>
    <ds:schemaRef ds:uri="2d9754bd-43a6-478d-bf04-b57147ddb280"/>
    <ds:schemaRef ds:uri="9b9e153e-6401-409c-bd0a-41b5f8ab74e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E5A7AA3-C20D-42AE-9C26-242C296D8796}">
  <ds:schemaRefs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9b9e153e-6401-409c-bd0a-41b5f8ab74e4"/>
    <ds:schemaRef ds:uri="http://schemas.microsoft.com/office/2006/documentManagement/types"/>
    <ds:schemaRef ds:uri="835fdb9f-f88e-43a5-94c0-38ddbb1f6cd4"/>
    <ds:schemaRef ds:uri="2d9754bd-43a6-478d-bf04-b57147ddb280"/>
    <ds:schemaRef ds:uri="http://www.w3.org/XML/1998/namespace"/>
    <ds:schemaRef ds:uri="http://schemas.microsoft.com/sharepoint/v3/fields"/>
    <ds:schemaRef ds:uri="29b4bc27-838b-4f7d-8750-3b9c627f1206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Import</vt:lpstr>
      <vt:lpstr>Sync with Sparx</vt:lpstr>
      <vt:lpstr>EAObjectTypeIDs</vt:lpstr>
      <vt:lpstr>LL_EAObject_TypeIDs</vt:lpstr>
      <vt:lpstr>LL_EAObject_TypeNames</vt:lpstr>
      <vt:lpstr>LL_Element_Types</vt:lpstr>
      <vt:lpstr>LL_Status</vt:lpstr>
    </vt:vector>
  </TitlesOfParts>
  <Company>Environment Canada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EEM Data Dictionary - 10.0</dc:title>
  <dc:creator>Savage,Steve [Ontario]</dc:creator>
  <cp:lastModifiedBy>Kwong-Chip,Kevin [Ontario]</cp:lastModifiedBy>
  <dcterms:created xsi:type="dcterms:W3CDTF">2015-08-06T17:56:08Z</dcterms:created>
  <dcterms:modified xsi:type="dcterms:W3CDTF">2016-08-12T17:52:30Z</dcterms:modified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0x010100E623EACA2C30D4408F7C942840CD01FD0008EB9B7C3278C94A8267B172B96CA149</vt:lpwstr>
  </property>
</Properties>
</file>